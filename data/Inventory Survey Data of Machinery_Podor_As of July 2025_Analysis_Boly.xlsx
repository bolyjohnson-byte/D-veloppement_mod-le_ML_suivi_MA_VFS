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B328F03-DDD1-45FD-8AAC-349911DBC82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hillé" sheetId="2" r:id="rId1"/>
    <sheet name="Gamadji" sheetId="3" r:id="rId2"/>
    <sheet name="Cas Cas - Saldé" sheetId="4" r:id="rId3"/>
    <sheet name="Raw Data" sheetId="1" r:id="rId4"/>
    <sheet name="-&gt;Analysis" sheetId="8" r:id="rId5"/>
    <sheet name="Analysis" sheetId="5" r:id="rId6"/>
    <sheet name="Analysis_Commune" sheetId="6" r:id="rId7"/>
    <sheet name="List of Service Provider" sheetId="7" r:id="rId8"/>
  </sheets>
  <definedNames>
    <definedName name="_xlnm._FilterDatabase" localSheetId="2" hidden="1">'Cas Cas - Saldé'!$A$2:$R$21</definedName>
    <definedName name="_xlnm._FilterDatabase" localSheetId="1" hidden="1">Gamadji!$A$2:$R$38</definedName>
    <definedName name="_xlnm._FilterDatabase" localSheetId="7" hidden="1">'List of Service Provider'!$A$2:$N$93</definedName>
    <definedName name="_xlnm._FilterDatabase" localSheetId="3" hidden="1">'Raw Data'!$A$1:$N$92</definedName>
    <definedName name="_xlnm._FilterDatabase" localSheetId="0" hidden="1">Thillé!$A$2:$R$38</definedName>
    <definedName name="_xlnm.Print_Titles" localSheetId="5">Analysis!$1:$1</definedName>
    <definedName name="_xlnm.Print_Area" localSheetId="1">Gamadji!$A$1:$S$38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9" i="7" l="1"/>
  <c r="Y68" i="7"/>
  <c r="Y67" i="7"/>
  <c r="W69" i="7"/>
  <c r="W68" i="7"/>
  <c r="W67" i="7"/>
  <c r="W66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3" i="7"/>
  <c r="S4" i="7" a="1"/>
  <c r="S4" i="7" s="1"/>
  <c r="S5" i="7" a="1"/>
  <c r="S5" i="7" s="1"/>
  <c r="S6" i="7" a="1"/>
  <c r="S6" i="7" s="1"/>
  <c r="S7" i="7" a="1"/>
  <c r="S7" i="7"/>
  <c r="S8" i="7" a="1"/>
  <c r="S8" i="7" s="1"/>
  <c r="S9" i="7" a="1"/>
  <c r="S9" i="7" s="1"/>
  <c r="S10" i="7" a="1"/>
  <c r="S10" i="7" s="1"/>
  <c r="S11" i="7" a="1"/>
  <c r="S11" i="7" s="1"/>
  <c r="S12" i="7" a="1"/>
  <c r="S12" i="7"/>
  <c r="S13" i="7" a="1"/>
  <c r="S13" i="7" s="1"/>
  <c r="S14" i="7" a="1"/>
  <c r="S14" i="7"/>
  <c r="S15" i="7" a="1"/>
  <c r="S15" i="7" s="1"/>
  <c r="S16" i="7" a="1"/>
  <c r="S16" i="7" s="1"/>
  <c r="S17" i="7" a="1"/>
  <c r="S17" i="7" s="1"/>
  <c r="S18" i="7" a="1"/>
  <c r="S18" i="7" s="1"/>
  <c r="S19" i="7" a="1"/>
  <c r="S19" i="7"/>
  <c r="S20" i="7" a="1"/>
  <c r="S20" i="7" s="1"/>
  <c r="S21" i="7" a="1"/>
  <c r="S21" i="7"/>
  <c r="S22" i="7" a="1"/>
  <c r="S22" i="7" s="1"/>
  <c r="S23" i="7" a="1"/>
  <c r="S23" i="7" s="1"/>
  <c r="S24" i="7" a="1"/>
  <c r="S24" i="7"/>
  <c r="S25" i="7" a="1"/>
  <c r="S25" i="7" s="1"/>
  <c r="S26" i="7" a="1"/>
  <c r="S26" i="7" s="1"/>
  <c r="S27" i="7" a="1"/>
  <c r="S27" i="7" s="1"/>
  <c r="S28" i="7" a="1"/>
  <c r="S28" i="7" s="1"/>
  <c r="S29" i="7" a="1"/>
  <c r="S29" i="7" s="1"/>
  <c r="S30" i="7" a="1"/>
  <c r="S30" i="7" s="1"/>
  <c r="S31" i="7" a="1"/>
  <c r="S31" i="7"/>
  <c r="S32" i="7" a="1"/>
  <c r="S32" i="7" s="1"/>
  <c r="S33" i="7" a="1"/>
  <c r="S33" i="7" s="1"/>
  <c r="S34" i="7" a="1"/>
  <c r="S34" i="7" s="1"/>
  <c r="S35" i="7" a="1"/>
  <c r="S35" i="7" s="1"/>
  <c r="S36" i="7" a="1"/>
  <c r="S36" i="7"/>
  <c r="S37" i="7" a="1"/>
  <c r="S37" i="7" s="1"/>
  <c r="S38" i="7" a="1"/>
  <c r="S38" i="7"/>
  <c r="S39" i="7" a="1"/>
  <c r="S39" i="7" s="1"/>
  <c r="S40" i="7" a="1"/>
  <c r="S40" i="7" s="1"/>
  <c r="S41" i="7" a="1"/>
  <c r="S41" i="7" s="1"/>
  <c r="S42" i="7" a="1"/>
  <c r="S42" i="7" s="1"/>
  <c r="S43" i="7" a="1"/>
  <c r="S43" i="7"/>
  <c r="S44" i="7" a="1"/>
  <c r="S44" i="7" s="1"/>
  <c r="S45" i="7" a="1"/>
  <c r="S45" i="7"/>
  <c r="S46" i="7" a="1"/>
  <c r="S46" i="7" s="1"/>
  <c r="S47" i="7" a="1"/>
  <c r="S47" i="7" s="1"/>
  <c r="S48" i="7" a="1"/>
  <c r="S48" i="7" s="1"/>
  <c r="S49" i="7" a="1"/>
  <c r="S49" i="7" s="1"/>
  <c r="S50" i="7" a="1"/>
  <c r="S50" i="7"/>
  <c r="S51" i="7" a="1"/>
  <c r="S51" i="7" s="1"/>
  <c r="S52" i="7" a="1"/>
  <c r="S52" i="7" s="1"/>
  <c r="S53" i="7" a="1"/>
  <c r="S53" i="7" s="1"/>
  <c r="S54" i="7" a="1"/>
  <c r="S54" i="7"/>
  <c r="S55" i="7" a="1"/>
  <c r="S55" i="7" s="1"/>
  <c r="S56" i="7" a="1"/>
  <c r="S56" i="7" s="1"/>
  <c r="S57" i="7" a="1"/>
  <c r="S57" i="7"/>
  <c r="S58" i="7" a="1"/>
  <c r="S58" i="7" s="1"/>
  <c r="S59" i="7" a="1"/>
  <c r="S59" i="7" s="1"/>
  <c r="S60" i="7" a="1"/>
  <c r="S60" i="7"/>
  <c r="S61" i="7" a="1"/>
  <c r="S61" i="7"/>
  <c r="S62" i="7" a="1"/>
  <c r="S62" i="7" s="1"/>
  <c r="S63" i="7" a="1"/>
  <c r="S63" i="7" s="1"/>
  <c r="S64" i="7" a="1"/>
  <c r="S64" i="7" s="1"/>
  <c r="S65" i="7" a="1"/>
  <c r="S65" i="7" s="1"/>
  <c r="S66" i="7" a="1"/>
  <c r="S66" i="7" s="1"/>
  <c r="S67" i="7" a="1"/>
  <c r="S67" i="7"/>
  <c r="S68" i="7" a="1"/>
  <c r="S68" i="7" s="1"/>
  <c r="S69" i="7" a="1"/>
  <c r="S69" i="7" s="1"/>
  <c r="S70" i="7" a="1"/>
  <c r="S70" i="7" s="1"/>
  <c r="S71" i="7" a="1"/>
  <c r="S71" i="7" s="1"/>
  <c r="S72" i="7" a="1"/>
  <c r="S72" i="7"/>
  <c r="S73" i="7" a="1"/>
  <c r="S73" i="7" s="1"/>
  <c r="S74" i="7" a="1"/>
  <c r="S74" i="7"/>
  <c r="S75" i="7" a="1"/>
  <c r="S75" i="7" s="1"/>
  <c r="S76" i="7" a="1"/>
  <c r="S76" i="7" s="1"/>
  <c r="S77" i="7" a="1"/>
  <c r="S77" i="7" s="1"/>
  <c r="S78" i="7" a="1"/>
  <c r="S78" i="7" s="1"/>
  <c r="S79" i="7" a="1"/>
  <c r="S79" i="7"/>
  <c r="S80" i="7" a="1"/>
  <c r="S80" i="7" s="1"/>
  <c r="S81" i="7" a="1"/>
  <c r="S81" i="7"/>
  <c r="S82" i="7" a="1"/>
  <c r="S82" i="7" s="1"/>
  <c r="S83" i="7" a="1"/>
  <c r="S83" i="7" s="1"/>
  <c r="S84" i="7" a="1"/>
  <c r="S84" i="7" s="1"/>
  <c r="S85" i="7" a="1"/>
  <c r="S85" i="7" s="1"/>
  <c r="S86" i="7" a="1"/>
  <c r="S86" i="7" s="1"/>
  <c r="S87" i="7" a="1"/>
  <c r="S87" i="7"/>
  <c r="S88" i="7" a="1"/>
  <c r="S88" i="7" s="1"/>
  <c r="S89" i="7" a="1"/>
  <c r="S89" i="7" s="1"/>
  <c r="S90" i="7" a="1"/>
  <c r="S90" i="7"/>
  <c r="S91" i="7" a="1"/>
  <c r="S91" i="7"/>
  <c r="S92" i="7" a="1"/>
  <c r="S92" i="7" s="1"/>
  <c r="S93" i="7" a="1"/>
  <c r="S93" i="7" s="1"/>
  <c r="S3" i="7" a="1"/>
  <c r="S3" i="7" s="1"/>
  <c r="P4" i="7" a="1"/>
  <c r="P4" i="7" s="1"/>
  <c r="P5" i="7" a="1"/>
  <c r="P5" i="7" s="1"/>
  <c r="P6" i="7" a="1"/>
  <c r="P6" i="7"/>
  <c r="P7" i="7" a="1"/>
  <c r="P7" i="7" s="1"/>
  <c r="P8" i="7" a="1"/>
  <c r="P8" i="7" s="1"/>
  <c r="P9" i="7" a="1"/>
  <c r="P9" i="7" s="1"/>
  <c r="P10" i="7" a="1"/>
  <c r="P10" i="7" s="1"/>
  <c r="P11" i="7" a="1"/>
  <c r="P11" i="7"/>
  <c r="P12" i="7" a="1"/>
  <c r="P12" i="7"/>
  <c r="P13" i="7" a="1"/>
  <c r="P13" i="7" s="1"/>
  <c r="P14" i="7" a="1"/>
  <c r="P14" i="7" s="1"/>
  <c r="P15" i="7" a="1"/>
  <c r="P15" i="7" s="1"/>
  <c r="P16" i="7" a="1"/>
  <c r="P16" i="7" s="1"/>
  <c r="P17" i="7" a="1"/>
  <c r="P17" i="7"/>
  <c r="P18" i="7" a="1"/>
  <c r="P18" i="7"/>
  <c r="P19" i="7" a="1"/>
  <c r="P19" i="7"/>
  <c r="P20" i="7" a="1"/>
  <c r="P20" i="7"/>
  <c r="P21" i="7" a="1"/>
  <c r="P21" i="7"/>
  <c r="P22" i="7" a="1"/>
  <c r="P22" i="7" s="1"/>
  <c r="P23" i="7" a="1"/>
  <c r="P23" i="7" s="1"/>
  <c r="P24" i="7" a="1"/>
  <c r="P24" i="7"/>
  <c r="P25" i="7" a="1"/>
  <c r="P25" i="7" s="1"/>
  <c r="P26" i="7" a="1"/>
  <c r="P26" i="7"/>
  <c r="P27" i="7" a="1"/>
  <c r="P27" i="7" s="1"/>
  <c r="P28" i="7" a="1"/>
  <c r="P28" i="7" s="1"/>
  <c r="P29" i="7" a="1"/>
  <c r="P29" i="7" s="1"/>
  <c r="P30" i="7" a="1"/>
  <c r="P30" i="7" s="1"/>
  <c r="P31" i="7" a="1"/>
  <c r="P31" i="7"/>
  <c r="P32" i="7" a="1"/>
  <c r="P32" i="7" s="1"/>
  <c r="P33" i="7" a="1"/>
  <c r="P33" i="7" s="1"/>
  <c r="P34" i="7" a="1"/>
  <c r="P34" i="7" s="1"/>
  <c r="P35" i="7" a="1"/>
  <c r="P35" i="7"/>
  <c r="P36" i="7" a="1"/>
  <c r="P36" i="7"/>
  <c r="P37" i="7" a="1"/>
  <c r="P37" i="7"/>
  <c r="P38" i="7" a="1"/>
  <c r="P38" i="7"/>
  <c r="P39" i="7" a="1"/>
  <c r="P39" i="7"/>
  <c r="P40" i="7" a="1"/>
  <c r="P40" i="7" s="1"/>
  <c r="P41" i="7" a="1"/>
  <c r="P41" i="7" s="1"/>
  <c r="P42" i="7" a="1"/>
  <c r="P42" i="7" s="1"/>
  <c r="P43" i="7" a="1"/>
  <c r="P43" i="7" s="1"/>
  <c r="P44" i="7" a="1"/>
  <c r="P44" i="7"/>
  <c r="P45" i="7" a="1"/>
  <c r="P45" i="7" s="1"/>
  <c r="P46" i="7" a="1"/>
  <c r="P46" i="7" s="1"/>
  <c r="P47" i="7" a="1"/>
  <c r="P47" i="7" s="1"/>
  <c r="P48" i="7" a="1"/>
  <c r="P48" i="7" s="1"/>
  <c r="P49" i="7" a="1"/>
  <c r="P49" i="7" s="1"/>
  <c r="P50" i="7" a="1"/>
  <c r="P50" i="7" s="1"/>
  <c r="P51" i="7" a="1"/>
  <c r="P51" i="7"/>
  <c r="P52" i="7" a="1"/>
  <c r="P52" i="7" s="1"/>
  <c r="P53" i="7" a="1"/>
  <c r="P53" i="7" s="1"/>
  <c r="P54" i="7" a="1"/>
  <c r="P54" i="7"/>
  <c r="P55" i="7" a="1"/>
  <c r="P55" i="7"/>
  <c r="P56" i="7" a="1"/>
  <c r="P56" i="7"/>
  <c r="P57" i="7" a="1"/>
  <c r="P57" i="7" s="1"/>
  <c r="P58" i="7" a="1"/>
  <c r="P58" i="7" s="1"/>
  <c r="P59" i="7" a="1"/>
  <c r="P59" i="7" s="1"/>
  <c r="P60" i="7" a="1"/>
  <c r="P60" i="7"/>
  <c r="P61" i="7" a="1"/>
  <c r="P61" i="7" s="1"/>
  <c r="P62" i="7" a="1"/>
  <c r="P62" i="7" s="1"/>
  <c r="P63" i="7" a="1"/>
  <c r="P63" i="7" s="1"/>
  <c r="P64" i="7" a="1"/>
  <c r="P64" i="7" s="1"/>
  <c r="P65" i="7" a="1"/>
  <c r="P65" i="7" s="1"/>
  <c r="P66" i="7" a="1"/>
  <c r="P66" i="7" s="1"/>
  <c r="P67" i="7" a="1"/>
  <c r="P67" i="7"/>
  <c r="P68" i="7" a="1"/>
  <c r="P68" i="7" s="1"/>
  <c r="P69" i="7" a="1"/>
  <c r="P69" i="7" s="1"/>
  <c r="P70" i="7" a="1"/>
  <c r="P70" i="7" s="1"/>
  <c r="P71" i="7" a="1"/>
  <c r="P71" i="7" s="1"/>
  <c r="P72" i="7" a="1"/>
  <c r="P72" i="7" s="1"/>
  <c r="P73" i="7" a="1"/>
  <c r="P73" i="7"/>
  <c r="P74" i="7" a="1"/>
  <c r="P74" i="7"/>
  <c r="P75" i="7" a="1"/>
  <c r="P75" i="7"/>
  <c r="P76" i="7" a="1"/>
  <c r="P76" i="7" s="1"/>
  <c r="P77" i="7" a="1"/>
  <c r="P77" i="7" s="1"/>
  <c r="P78" i="7" a="1"/>
  <c r="P78" i="7"/>
  <c r="P79" i="7" a="1"/>
  <c r="P79" i="7"/>
  <c r="P80" i="7" a="1"/>
  <c r="P80" i="7"/>
  <c r="P81" i="7" a="1"/>
  <c r="P81" i="7"/>
  <c r="P82" i="7" a="1"/>
  <c r="P82" i="7" s="1"/>
  <c r="P83" i="7" a="1"/>
  <c r="P83" i="7" s="1"/>
  <c r="P84" i="7" a="1"/>
  <c r="P84" i="7"/>
  <c r="P85" i="7" a="1"/>
  <c r="P85" i="7"/>
  <c r="P86" i="7" a="1"/>
  <c r="P86" i="7"/>
  <c r="P87" i="7" a="1"/>
  <c r="P87" i="7"/>
  <c r="P88" i="7" a="1"/>
  <c r="P88" i="7" s="1"/>
  <c r="P89" i="7" a="1"/>
  <c r="P89" i="7" s="1"/>
  <c r="P90" i="7" a="1"/>
  <c r="P90" i="7" s="1"/>
  <c r="P91" i="7" a="1"/>
  <c r="P91" i="7" s="1"/>
  <c r="P92" i="7" a="1"/>
  <c r="P92" i="7"/>
  <c r="P93" i="7" a="1"/>
  <c r="P93" i="7" s="1"/>
  <c r="P3" i="7" a="1"/>
  <c r="P3" i="7" s="1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F97" i="7"/>
  <c r="N96" i="7"/>
  <c r="I96" i="7"/>
  <c r="F96" i="7"/>
  <c r="D96" i="7"/>
  <c r="N95" i="7"/>
  <c r="I95" i="7"/>
  <c r="F95" i="7"/>
  <c r="D95" i="7"/>
  <c r="F33" i="6"/>
  <c r="F32" i="6"/>
  <c r="F30" i="6"/>
  <c r="E39" i="6"/>
  <c r="E33" i="6"/>
  <c r="F23" i="6"/>
  <c r="E23" i="6"/>
  <c r="F47" i="6"/>
  <c r="E47" i="6"/>
  <c r="E48" i="6" s="1"/>
  <c r="E49" i="6" s="1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8" i="6"/>
  <c r="E38" i="6"/>
  <c r="F37" i="6"/>
  <c r="E37" i="6"/>
  <c r="F36" i="6"/>
  <c r="E36" i="6"/>
  <c r="F35" i="6"/>
  <c r="E35" i="6"/>
  <c r="F34" i="6"/>
  <c r="E34" i="6"/>
  <c r="E32" i="6"/>
  <c r="F31" i="6"/>
  <c r="E31" i="6"/>
  <c r="E30" i="6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94" i="1"/>
  <c r="F22" i="6"/>
  <c r="F21" i="6"/>
  <c r="F20" i="6"/>
  <c r="F19" i="6"/>
  <c r="F18" i="6"/>
  <c r="F17" i="6"/>
  <c r="F16" i="6"/>
  <c r="F15" i="6"/>
  <c r="F13" i="6"/>
  <c r="F12" i="6"/>
  <c r="F11" i="6"/>
  <c r="F10" i="6"/>
  <c r="F9" i="6"/>
  <c r="F7" i="6"/>
  <c r="F6" i="6"/>
  <c r="F5" i="6"/>
  <c r="E17" i="6"/>
  <c r="E16" i="6"/>
  <c r="E7" i="6"/>
  <c r="E22" i="6"/>
  <c r="E21" i="6"/>
  <c r="E20" i="6"/>
  <c r="E19" i="6"/>
  <c r="E18" i="6"/>
  <c r="E15" i="6"/>
  <c r="E13" i="6"/>
  <c r="E12" i="6"/>
  <c r="E11" i="6"/>
  <c r="E10" i="6"/>
  <c r="E9" i="6"/>
  <c r="E6" i="6"/>
  <c r="E5" i="6"/>
  <c r="E8" i="6" s="1"/>
  <c r="E24" i="6" s="1"/>
  <c r="D94" i="5"/>
  <c r="D93" i="5"/>
  <c r="D92" i="5"/>
  <c r="D91" i="5"/>
  <c r="D90" i="5"/>
  <c r="D89" i="5"/>
  <c r="D88" i="5"/>
  <c r="D87" i="5"/>
  <c r="D86" i="5"/>
  <c r="D85" i="5"/>
  <c r="D80" i="5"/>
  <c r="D66" i="5"/>
  <c r="D73" i="5"/>
  <c r="D74" i="5"/>
  <c r="D75" i="5"/>
  <c r="D76" i="5"/>
  <c r="D77" i="5"/>
  <c r="D78" i="5"/>
  <c r="D79" i="5"/>
  <c r="D72" i="5"/>
  <c r="D59" i="5"/>
  <c r="D60" i="5"/>
  <c r="D61" i="5"/>
  <c r="D62" i="5"/>
  <c r="D63" i="5"/>
  <c r="D64" i="5"/>
  <c r="D65" i="5"/>
  <c r="D58" i="5"/>
  <c r="D71" i="5"/>
  <c r="D57" i="5"/>
  <c r="F52" i="5"/>
  <c r="F51" i="5"/>
  <c r="F49" i="5"/>
  <c r="F48" i="5"/>
  <c r="F46" i="5"/>
  <c r="F45" i="5"/>
  <c r="F40" i="5"/>
  <c r="F39" i="5"/>
  <c r="F37" i="5"/>
  <c r="F36" i="5"/>
  <c r="F34" i="5"/>
  <c r="F33" i="5"/>
  <c r="F27" i="5"/>
  <c r="F26" i="5"/>
  <c r="F24" i="5"/>
  <c r="F23" i="5"/>
  <c r="N95" i="1"/>
  <c r="N94" i="1"/>
  <c r="F16" i="5"/>
  <c r="F17" i="5"/>
  <c r="F14" i="5"/>
  <c r="F13" i="5"/>
  <c r="F11" i="5"/>
  <c r="F10" i="5"/>
  <c r="D95" i="1"/>
  <c r="D94" i="1"/>
  <c r="D5" i="5"/>
  <c r="D4" i="5"/>
  <c r="F96" i="1"/>
  <c r="F95" i="1"/>
  <c r="F94" i="1"/>
  <c r="G37" i="5" l="1"/>
  <c r="G39" i="5"/>
  <c r="G36" i="5"/>
  <c r="G40" i="5"/>
  <c r="T3" i="7" a="1"/>
  <c r="T3" i="7" s="1"/>
  <c r="Q3" i="7" a="1"/>
  <c r="Q3" i="7" s="1"/>
  <c r="F49" i="6"/>
  <c r="E14" i="6"/>
  <c r="F14" i="6"/>
  <c r="F8" i="6"/>
  <c r="F24" i="6" s="1"/>
  <c r="F48" i="6"/>
  <c r="F39" i="6"/>
  <c r="G24" i="5"/>
  <c r="G11" i="5"/>
  <c r="G10" i="5"/>
  <c r="G26" i="5"/>
  <c r="G16" i="5"/>
  <c r="D95" i="5"/>
  <c r="G14" i="5"/>
  <c r="G17" i="5"/>
  <c r="F41" i="5"/>
  <c r="G13" i="5"/>
  <c r="D67" i="5"/>
  <c r="G23" i="5"/>
  <c r="G27" i="5"/>
  <c r="D81" i="5"/>
  <c r="F28" i="5"/>
  <c r="F53" i="5"/>
  <c r="G51" i="5" s="1"/>
  <c r="F50" i="5"/>
  <c r="G48" i="5" s="1"/>
  <c r="F47" i="5"/>
  <c r="G45" i="5" s="1"/>
  <c r="F35" i="5"/>
  <c r="G33" i="5" s="1"/>
  <c r="F38" i="5"/>
  <c r="F25" i="5"/>
  <c r="F29" i="5" s="1"/>
  <c r="F15" i="5"/>
  <c r="F18" i="5"/>
  <c r="F12" i="5"/>
  <c r="D6" i="5"/>
  <c r="G46" i="5" l="1"/>
  <c r="G34" i="5"/>
  <c r="G49" i="5"/>
  <c r="G52" i="5"/>
  <c r="F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Bocar kane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7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Bocar kane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79" authorId="0" shapeId="0" xr:uid="{4710F70B-8456-44E7-91CD-FA6F476767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Bocar kane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<sst xmlns="http://schemas.openxmlformats.org/spreadsheetml/2006/main" count="4071" uniqueCount="496">
  <si>
    <t>Delegation</t>
  </si>
  <si>
    <t>Secteur</t>
  </si>
  <si>
    <t>Caract materiels agricole</t>
  </si>
  <si>
    <t>type materiel</t>
  </si>
  <si>
    <t>Structure benef</t>
  </si>
  <si>
    <t>Type organisat</t>
  </si>
  <si>
    <t xml:space="preserve">Nom responsable </t>
  </si>
  <si>
    <t>Telephone</t>
  </si>
  <si>
    <t>commune_zi</t>
  </si>
  <si>
    <t>Année acquisition</t>
  </si>
  <si>
    <t>Provenance</t>
  </si>
  <si>
    <t>Observations</t>
  </si>
  <si>
    <t>Tracteur 132 CV + Offset 26 disques traine  VALTRA</t>
  </si>
  <si>
    <t>Tracteur</t>
  </si>
  <si>
    <t>Union des GIE de Madina</t>
  </si>
  <si>
    <t>Union</t>
  </si>
  <si>
    <t>YAYA SOULEYMANE DEME</t>
  </si>
  <si>
    <t>GOLLERE</t>
  </si>
  <si>
    <t>SAED</t>
  </si>
  <si>
    <t>Moyen</t>
  </si>
  <si>
    <t>ABOUBACRY SY</t>
  </si>
  <si>
    <t>PETE</t>
  </si>
  <si>
    <t>Tracteur 125CV+Offset 28 disques Jonh deer</t>
  </si>
  <si>
    <t>PELLITAL (prestataire Aéré)</t>
  </si>
  <si>
    <t>Individuel</t>
  </si>
  <si>
    <t>AMADOU THIAM</t>
  </si>
  <si>
    <t>77 567 03 11</t>
  </si>
  <si>
    <t>AERELAO</t>
  </si>
  <si>
    <t>MAER</t>
  </si>
  <si>
    <t>Bon état</t>
  </si>
  <si>
    <t>UNION MBOLO BIRANE</t>
  </si>
  <si>
    <t>OUSMANE AMADOU KANE</t>
  </si>
  <si>
    <t>77 560 29 15</t>
  </si>
  <si>
    <t>MBOLOBIRANE</t>
  </si>
  <si>
    <t>tracteur 100 CV +Offset 24 disques</t>
  </si>
  <si>
    <t>GIE BIDIEW</t>
  </si>
  <si>
    <t>Notification</t>
  </si>
  <si>
    <t xml:space="preserve"> UNION NDIOUM SP2</t>
  </si>
  <si>
    <t>Magoum NDIAYE</t>
  </si>
  <si>
    <t>NDIOUM</t>
  </si>
  <si>
    <t>Moissonneuse Batteuse</t>
  </si>
  <si>
    <t xml:space="preserve"> UNION NDIOUM SP1</t>
  </si>
  <si>
    <t>Oumar DIAW</t>
  </si>
  <si>
    <t>UNION YIRLAABE THIKITE</t>
  </si>
  <si>
    <t>CIRADJI BA</t>
  </si>
  <si>
    <t>77 565 00 01</t>
  </si>
  <si>
    <t>Union Djigadji Mery</t>
  </si>
  <si>
    <t>SAMBA BARA SOW</t>
  </si>
  <si>
    <t>77 564 99 08</t>
  </si>
  <si>
    <t>MERY</t>
  </si>
  <si>
    <t>Union SP2 Aeré Lao</t>
  </si>
  <si>
    <t>En panne</t>
  </si>
  <si>
    <t>Boumatt Agro fresh</t>
  </si>
  <si>
    <t>ABDOU SALL</t>
  </si>
  <si>
    <t>78 211 56 05</t>
  </si>
  <si>
    <t>GUEDEVILLAGE</t>
  </si>
  <si>
    <t>TRACTEUR VALTRA DE 88 CV + PULVERISEUR OFFSET DE 20 DISQUES TRAINE</t>
  </si>
  <si>
    <t>Union Guédé Village</t>
  </si>
  <si>
    <t>IBRAHIMA DIAW</t>
  </si>
  <si>
    <t>77 614 24 32</t>
  </si>
  <si>
    <t>Union Cheikhou Oumar Loboudou Doué</t>
  </si>
  <si>
    <t>IBRAHIMA LY</t>
  </si>
  <si>
    <t>77 502 71 20</t>
  </si>
  <si>
    <t>NDIAYENEPENDAO</t>
  </si>
  <si>
    <t>Fédération des GIE de Donaye</t>
  </si>
  <si>
    <t>IBRAHIMA WONE</t>
  </si>
  <si>
    <t>77 351 40 96</t>
  </si>
  <si>
    <t>UNION GIE DE DIATTAR</t>
  </si>
  <si>
    <t>OUSMANE SY</t>
  </si>
  <si>
    <t>77 948 24 90</t>
  </si>
  <si>
    <t>UNION GUEDE CHANTIER</t>
  </si>
  <si>
    <t>CHERIF AMADOU DIOP</t>
  </si>
  <si>
    <t>77 534 86 22</t>
  </si>
  <si>
    <t>GUEDECHANTIER</t>
  </si>
  <si>
    <t>SOULEYMANE LY MBOYO (PRIVE)</t>
  </si>
  <si>
    <t>SOULEYMANE LY</t>
  </si>
  <si>
    <t>77 549 04 16</t>
  </si>
  <si>
    <t>Tracteur John Deer 90 CV + Moissonneuse batteuse portée</t>
  </si>
  <si>
    <t>GIE Groupe Naforé</t>
  </si>
  <si>
    <t>ABDOULAYE BA</t>
  </si>
  <si>
    <t>77 557 58 19</t>
  </si>
  <si>
    <t>PODOR</t>
  </si>
  <si>
    <t xml:space="preserve"> UNION GIE DE MBANTOU</t>
  </si>
  <si>
    <t>Amadou Moctar BA</t>
  </si>
  <si>
    <t>GIE RACINE 2 KODITH</t>
  </si>
  <si>
    <t xml:space="preserve"> ABDOULAYE RACINE ANNE</t>
  </si>
  <si>
    <t>GIE Baidy Dieynabel DIOP</t>
  </si>
  <si>
    <t>Elhadji Demba Louboudou DIOP</t>
  </si>
  <si>
    <t>77 361 922 87</t>
  </si>
  <si>
    <t>Boumatt Agro fresh  ABDOU SALL</t>
  </si>
  <si>
    <t>PUDC</t>
  </si>
  <si>
    <t>Moissonneuse batteuse Massey Fergusson</t>
  </si>
  <si>
    <t>GIE Diokere Endam MOUSSA HAROUNA LY</t>
  </si>
  <si>
    <t>77 647 69 33</t>
  </si>
  <si>
    <t>UNION  H MAAJE DOUE</t>
  </si>
  <si>
    <t>Union thierno Bocar Ly Mboyo 1</t>
  </si>
  <si>
    <t>SADIO SALL</t>
  </si>
  <si>
    <t>77 643 65 32</t>
  </si>
  <si>
    <t>Gie WEYNDE DIENG</t>
  </si>
  <si>
    <t>COUMBA IFRA DIENG</t>
  </si>
  <si>
    <t>WALALDE</t>
  </si>
  <si>
    <t>Union de Cas-Cas</t>
  </si>
  <si>
    <t>SAMBA  MOUSSA THIAM</t>
  </si>
  <si>
    <t>77 571 52 90</t>
  </si>
  <si>
    <t>MEDINANDIATHBE</t>
  </si>
  <si>
    <t>UNION DES GIE DU VILLAGE DE CAS -CAS</t>
  </si>
  <si>
    <t>Moussa Samba DIAW</t>
  </si>
  <si>
    <t>UNION GIE DE THIOUBALEL</t>
  </si>
  <si>
    <t>Yoro SY  / 78 569 35 22</t>
  </si>
  <si>
    <t>UNION DES GIE DE DEMET</t>
  </si>
  <si>
    <t>KALIDOU AW</t>
  </si>
  <si>
    <t>77 567 31 13</t>
  </si>
  <si>
    <t>DODEL</t>
  </si>
  <si>
    <t>GIE TIMTIMOL(privé)</t>
  </si>
  <si>
    <t>SAÏDOU NOUROU BA</t>
  </si>
  <si>
    <t>77-639-67-67</t>
  </si>
  <si>
    <t>FUGIAM</t>
  </si>
  <si>
    <t>Fédération</t>
  </si>
  <si>
    <t>Samba THIAM</t>
  </si>
  <si>
    <t>GIE FASSE Mouhamadou lamine DJIGO Demette</t>
  </si>
  <si>
    <t>MOUHAMADOU LAMINE DJIGO</t>
  </si>
  <si>
    <t>77 412 63 88</t>
  </si>
  <si>
    <t>DEMETTE</t>
  </si>
  <si>
    <t>GIE DARA MARABOUT DARA HALAYBE</t>
  </si>
  <si>
    <t>El Hadji Mamadou Moussa LY</t>
  </si>
  <si>
    <t>GIE ELIMANE DOBANGUO Demette</t>
  </si>
  <si>
    <t>Mamadou Abdoulaye SOKO</t>
  </si>
  <si>
    <t>Union PIV ET PIP DE Fanaye</t>
  </si>
  <si>
    <t>ALHOUSSEYNOU DJIGO</t>
  </si>
  <si>
    <t>FANAYE</t>
  </si>
  <si>
    <t>FEGINA  - NGALLENKA AMONT</t>
  </si>
  <si>
    <t>MOUSSA TALL</t>
  </si>
  <si>
    <t>Panne</t>
  </si>
  <si>
    <t>Union Thillé thiangaye</t>
  </si>
  <si>
    <t>77 561 27 03</t>
  </si>
  <si>
    <t>Dental MCA</t>
  </si>
  <si>
    <t>AMADOU MAHAM BA</t>
  </si>
  <si>
    <t>77 898 17 06</t>
  </si>
  <si>
    <t>NDIEURBA SP2</t>
  </si>
  <si>
    <t>MOUSTAPHA MBENGUE</t>
  </si>
  <si>
    <t>77 459 74 73</t>
  </si>
  <si>
    <t>SP1 NGORO FANAYE</t>
  </si>
  <si>
    <t>AMADOU TALL</t>
  </si>
  <si>
    <t>77 537 12 31</t>
  </si>
  <si>
    <t>UNION SUMA NIANGA</t>
  </si>
  <si>
    <t>DJIBO DIALLO</t>
  </si>
  <si>
    <t>77 561 74 69</t>
  </si>
  <si>
    <t xml:space="preserve"> CODOU DIOP</t>
  </si>
  <si>
    <t>CODOU DIOP</t>
  </si>
  <si>
    <t>UNION DES GIE DE NGORO FANAYE</t>
  </si>
  <si>
    <t>Amadou TALL</t>
  </si>
  <si>
    <t>UNION DES PIV DE NIANDANE</t>
  </si>
  <si>
    <t>Mamadou NIANE</t>
  </si>
  <si>
    <t>NIANDANE</t>
  </si>
  <si>
    <t>UNION THILLE - THIANGAYE</t>
  </si>
  <si>
    <t>Bocar KANE</t>
  </si>
  <si>
    <t>SERIGNE ABDOURAHMANE NIANE</t>
  </si>
  <si>
    <t xml:space="preserve">GIE FOUTA TORO </t>
  </si>
  <si>
    <t>THIERNO MADANI TALL</t>
  </si>
  <si>
    <t>ALIOU IBRAHIMA LY</t>
  </si>
  <si>
    <t>GIE HAABADE BASSAL</t>
  </si>
  <si>
    <t>ALIOU KANE</t>
  </si>
  <si>
    <t>Boubacar Sall</t>
  </si>
  <si>
    <t>UNION DIOSSOROL NDIAWAR</t>
  </si>
  <si>
    <t>MOUSSA AW</t>
  </si>
  <si>
    <t>77 568 13 81</t>
  </si>
  <si>
    <t>Union Dental MCA</t>
  </si>
  <si>
    <t>Union Ngoro Fanaye SP1</t>
  </si>
  <si>
    <t>GUIA (Privé)</t>
  </si>
  <si>
    <t>MAMADOU MOUSSA DIACK</t>
  </si>
  <si>
    <t>77 555 44 57</t>
  </si>
  <si>
    <t>REFAN/PODOR</t>
  </si>
  <si>
    <t>Réseau</t>
  </si>
  <si>
    <t>Adama GAYE</t>
  </si>
  <si>
    <t>Cas_Cas / Saldé</t>
  </si>
  <si>
    <t>Gamadji Saré</t>
  </si>
  <si>
    <t>Thillé Boubacar</t>
  </si>
  <si>
    <t>Amadou Tidiane Dème</t>
  </si>
  <si>
    <t>Tracteur 100 CV +Offset 24 disques</t>
  </si>
  <si>
    <t>MOUSSA HAROUNA LY</t>
  </si>
  <si>
    <t>Amadou Tall</t>
  </si>
  <si>
    <t>Diatar</t>
  </si>
  <si>
    <t>MASAE</t>
  </si>
  <si>
    <t>77 515 18 96</t>
  </si>
  <si>
    <t>RESEPP</t>
  </si>
  <si>
    <t>Mamadou Amadou Ndiaye</t>
  </si>
  <si>
    <t>77 103 30 56</t>
  </si>
  <si>
    <t>Médina diatebé</t>
  </si>
  <si>
    <t xml:space="preserve">FATIMATA GAYE  </t>
  </si>
  <si>
    <t>FRA PSE</t>
  </si>
  <si>
    <t>Faitière</t>
  </si>
  <si>
    <t>Tracteur 100CV+Offset 24 disques Dushter et remorque 5 T</t>
  </si>
  <si>
    <t>Tracteur 100CV+Offset 24 disques Dushter et remorque 10 T</t>
  </si>
  <si>
    <t>Interprofession des Producteurs d’oignon de Podor (IPOS)</t>
  </si>
  <si>
    <t>Département de Podor</t>
  </si>
  <si>
    <t>Union des GIE Yirlabé Saldé Ouallah</t>
  </si>
  <si>
    <t>77 519 26 44</t>
  </si>
  <si>
    <t>Arrondissement</t>
  </si>
  <si>
    <t>Saldé</t>
  </si>
  <si>
    <t>Gamadji sarré</t>
  </si>
  <si>
    <t>Cas cas</t>
  </si>
  <si>
    <t>Département</t>
  </si>
  <si>
    <t>Union des SUMAS de Nianga</t>
  </si>
  <si>
    <t>Moissonneuse batteuse à chenille FM WORLD</t>
  </si>
  <si>
    <t>Djibo Diallo</t>
  </si>
  <si>
    <t>Ndiayenne Pendao</t>
  </si>
  <si>
    <t>Union des Organisations Paysannes Hakoudé Madje de Doué</t>
  </si>
  <si>
    <t>Union des GIE de Aéré Lao SP 2</t>
  </si>
  <si>
    <t>77 556 75 86</t>
  </si>
  <si>
    <t>Aéré Lao</t>
  </si>
  <si>
    <t>Union GIE pour le Développement Intégré de Niandane</t>
  </si>
  <si>
    <t>Union des GIE SP2 de Ndioum</t>
  </si>
  <si>
    <t xml:space="preserve">Union des GIE de Ngoro Fanaye, </t>
  </si>
  <si>
    <t>Union des Produceurs et Agriculteurs de Diatar</t>
  </si>
  <si>
    <t>Union des PIV de  Guédé</t>
  </si>
  <si>
    <t>77 518 20 27</t>
  </si>
  <si>
    <t>77 634 52 41</t>
  </si>
  <si>
    <t>77 537 12 31</t>
  </si>
  <si>
    <t>Niandane</t>
  </si>
  <si>
    <t>Guédé village</t>
  </si>
  <si>
    <t>Ndioum</t>
  </si>
  <si>
    <t>Fanaye</t>
  </si>
  <si>
    <t>Guede Village</t>
  </si>
  <si>
    <t>guede village</t>
  </si>
  <si>
    <t>Aéré lao</t>
  </si>
  <si>
    <t>Thillé  boubacar</t>
  </si>
  <si>
    <t>Thillé boubacar</t>
  </si>
  <si>
    <t>Mouhamadou Niane</t>
  </si>
  <si>
    <t>Magoum Ndiaye</t>
  </si>
  <si>
    <t>Ousmane Sy</t>
  </si>
  <si>
    <t>Ibrahima Diaw</t>
  </si>
  <si>
    <t>77 731 46 37</t>
  </si>
  <si>
    <t>77 512 79 79</t>
  </si>
  <si>
    <t>77 659 75 68</t>
  </si>
  <si>
    <t>Boki Dialloubé</t>
  </si>
  <si>
    <t>MEDINA NDIATHBE</t>
  </si>
  <si>
    <t>AERE LAO</t>
  </si>
  <si>
    <t>BOKE DIALLOUBE</t>
  </si>
  <si>
    <t>77 442 61 28</t>
  </si>
  <si>
    <t>77 542 60 18</t>
  </si>
  <si>
    <t>77 656 24 70</t>
  </si>
  <si>
    <t>77 204 64 19</t>
  </si>
  <si>
    <t>77 538 51 32</t>
  </si>
  <si>
    <t>77 563 93 32</t>
  </si>
  <si>
    <t>77 567 02 50</t>
  </si>
  <si>
    <t>77 265 32 30</t>
  </si>
  <si>
    <t>77 518 20 27</t>
  </si>
  <si>
    <t>77 564 33 17</t>
  </si>
  <si>
    <t>77 561 28 10</t>
  </si>
  <si>
    <t>77 652 54 49</t>
  </si>
  <si>
    <t>77 652 49 50</t>
  </si>
  <si>
    <t>Financement</t>
  </si>
  <si>
    <t>Union wodoss</t>
  </si>
  <si>
    <t>UAI 4 SALDE</t>
  </si>
  <si>
    <t>ALLASANE DIA</t>
  </si>
  <si>
    <t>UNION SALDE</t>
  </si>
  <si>
    <t>IBRAHIMA HANN</t>
  </si>
  <si>
    <t>BOKKE DIALLOUBE</t>
  </si>
  <si>
    <t>SALDE</t>
  </si>
  <si>
    <t>LBA</t>
  </si>
  <si>
    <t>Bon Etat</t>
  </si>
  <si>
    <t>Tracteur 80CV+Offset 18 disques New Holland</t>
  </si>
  <si>
    <t>Village de Diagnoum</t>
  </si>
  <si>
    <t>Village pilote</t>
  </si>
  <si>
    <t>Hamat Dia</t>
  </si>
  <si>
    <t>77 720 93 62</t>
  </si>
  <si>
    <t>SAEMAUL</t>
  </si>
  <si>
    <t>Don</t>
  </si>
  <si>
    <t>Village de Thillé Boubacar</t>
  </si>
  <si>
    <t>Mamadou Diallo</t>
  </si>
  <si>
    <t>70 406 91 40</t>
  </si>
  <si>
    <t>Ndiayene Pendao</t>
  </si>
  <si>
    <t>Moissonneuse batteuse à chenille Class</t>
  </si>
  <si>
    <t>COOP Toro KOICA</t>
  </si>
  <si>
    <t>Ndiayene Pendao / Guédé village</t>
  </si>
  <si>
    <t>Thillé boubacar/gamadji</t>
  </si>
  <si>
    <t>PDCVR2</t>
  </si>
  <si>
    <t>DON</t>
  </si>
  <si>
    <t>avec offset</t>
  </si>
  <si>
    <t>sans offset</t>
  </si>
  <si>
    <t>Amadou Sy</t>
  </si>
  <si>
    <t>76 600 66 63</t>
  </si>
  <si>
    <t>Coopération</t>
  </si>
  <si>
    <t>Moeteur</t>
  </si>
  <si>
    <t xml:space="preserve">offset </t>
  </si>
  <si>
    <t>tracteur 100 CV +Offset 24 disques TAFE</t>
  </si>
  <si>
    <t>Tracteur 125CV+Offset 24 disques New Holland</t>
  </si>
  <si>
    <t xml:space="preserve">Coopérative  </t>
  </si>
  <si>
    <t xml:space="preserve">Coopérative </t>
  </si>
  <si>
    <t>Ibrahima Sall</t>
  </si>
  <si>
    <t>Tracteur 125CV+Offset 28 disques New Holland</t>
  </si>
  <si>
    <t>Privé</t>
  </si>
  <si>
    <t>77 643 91 55</t>
  </si>
  <si>
    <t>Projet</t>
  </si>
  <si>
    <t>Moissonneuse batteuse new holland pneu</t>
  </si>
  <si>
    <t>Ambrayage</t>
  </si>
  <si>
    <t>Pont, pignon</t>
  </si>
  <si>
    <t>Hamath Guèye</t>
  </si>
  <si>
    <t>77 658 72 88</t>
  </si>
  <si>
    <t xml:space="preserve">Tracteur </t>
  </si>
  <si>
    <t>Aly Dramane Sy</t>
  </si>
  <si>
    <t>77 907 31 39</t>
  </si>
  <si>
    <t>77 550 24 81</t>
  </si>
  <si>
    <t>Tracteur CASE</t>
  </si>
  <si>
    <t>Union Diomandou</t>
  </si>
  <si>
    <t>Oumar Wade</t>
  </si>
  <si>
    <t>77 524 55 42</t>
  </si>
  <si>
    <t xml:space="preserve">Tracteur 100CV+Offset 24 disques </t>
  </si>
  <si>
    <t>Thioye Fils</t>
  </si>
  <si>
    <t>El Hadji Tidiane Ly</t>
  </si>
  <si>
    <t>privé</t>
  </si>
  <si>
    <t>El Hadji Ndiaye</t>
  </si>
  <si>
    <t>Bon etat</t>
  </si>
  <si>
    <t>Dodel</t>
  </si>
  <si>
    <t>77 848 02 50</t>
  </si>
  <si>
    <t>77 565 24 70</t>
  </si>
  <si>
    <t>Tracteur Massay Ferguson 180 CV</t>
  </si>
  <si>
    <t>Tracteur 100 CV + Offset 24 disques + remorque 10 T</t>
  </si>
  <si>
    <t>Union des GIE de wodoss</t>
  </si>
  <si>
    <t>Tracteur 120 CV + offset 26 disques+Remorque 10T</t>
  </si>
  <si>
    <t>Malick Amadou Ly</t>
  </si>
  <si>
    <t>Société Coopérative agro sylvo pastoral</t>
  </si>
  <si>
    <t>Coopérative</t>
  </si>
  <si>
    <t>Mamadou Niang</t>
  </si>
  <si>
    <t>77 722 65 23</t>
  </si>
  <si>
    <t>Ibrahima Aliou Sylla</t>
  </si>
  <si>
    <t>Moissonneuse batteuse Massey Fergusson pneu</t>
  </si>
  <si>
    <t>Moissonneuse batteuse VALTRA pneu</t>
  </si>
  <si>
    <t>Moissonneuse batteuse KARTAR pneu</t>
  </si>
  <si>
    <t>Moissonneuse batteuse à chenille</t>
  </si>
  <si>
    <t xml:space="preserve">Moissonneuse Batteuse </t>
  </si>
  <si>
    <t>Panne</t>
    <phoneticPr fontId="15"/>
  </si>
  <si>
    <t>Type of Machine</t>
    <phoneticPr fontId="15"/>
  </si>
  <si>
    <t>Number of Machine</t>
    <phoneticPr fontId="15"/>
  </si>
  <si>
    <t>Tractor</t>
  </si>
  <si>
    <t>Combine Harvester</t>
  </si>
  <si>
    <t>Moissonneuse batteuse à chenille Class</t>
    <phoneticPr fontId="15"/>
  </si>
  <si>
    <t>Tractor</t>
    <phoneticPr fontId="15"/>
  </si>
  <si>
    <t>Combine Harvester</t>
    <phoneticPr fontId="15"/>
  </si>
  <si>
    <t>Total</t>
    <phoneticPr fontId="15"/>
  </si>
  <si>
    <t>Type of Owner</t>
    <phoneticPr fontId="15"/>
  </si>
  <si>
    <t>Union</t>
    <phoneticPr fontId="15"/>
  </si>
  <si>
    <t>Private</t>
    <phoneticPr fontId="15"/>
  </si>
  <si>
    <t>Cooperative</t>
  </si>
  <si>
    <t>Cooperative</t>
    <phoneticPr fontId="15"/>
  </si>
  <si>
    <t>Number of Owner</t>
    <phoneticPr fontId="15"/>
  </si>
  <si>
    <t>Société Cooperativeagro sylvo pastoral</t>
  </si>
  <si>
    <t>Sub-total</t>
    <phoneticPr fontId="15"/>
  </si>
  <si>
    <t>Private</t>
    <phoneticPr fontId="15"/>
  </si>
  <si>
    <t>Union</t>
    <phoneticPr fontId="15"/>
  </si>
  <si>
    <t>Cooperative</t>
    <phoneticPr fontId="15"/>
  </si>
  <si>
    <t>Tractor</t>
    <phoneticPr fontId="15"/>
  </si>
  <si>
    <t>Combine Harvester</t>
    <phoneticPr fontId="15"/>
  </si>
  <si>
    <t>Operation Situation</t>
    <phoneticPr fontId="15"/>
  </si>
  <si>
    <t>Function</t>
  </si>
  <si>
    <t>Function</t>
    <phoneticPr fontId="15"/>
  </si>
  <si>
    <t>Breakdown</t>
  </si>
  <si>
    <t>Breakdown</t>
    <phoneticPr fontId="15"/>
  </si>
  <si>
    <t>Operational Situation of Machine</t>
    <phoneticPr fontId="15"/>
  </si>
  <si>
    <t>Bon état</t>
    <phoneticPr fontId="15"/>
  </si>
  <si>
    <t>Breakdown</t>
    <phoneticPr fontId="15"/>
  </si>
  <si>
    <t>Function</t>
    <phoneticPr fontId="15"/>
  </si>
  <si>
    <t>Owner-basis Operational Situation of Tractor</t>
    <phoneticPr fontId="15"/>
  </si>
  <si>
    <t>Operational Rate</t>
    <phoneticPr fontId="15"/>
  </si>
  <si>
    <t>-</t>
    <phoneticPr fontId="15"/>
  </si>
  <si>
    <t>Owner-basis Operational Situation of Combine Harvester</t>
    <phoneticPr fontId="15"/>
  </si>
  <si>
    <t>Possetion Rate of Owner</t>
    <phoneticPr fontId="15"/>
  </si>
  <si>
    <t>Acquisition Period of Machine</t>
    <phoneticPr fontId="15"/>
  </si>
  <si>
    <t>Before 2018</t>
    <phoneticPr fontId="15"/>
  </si>
  <si>
    <t>Acquisition Year</t>
    <phoneticPr fontId="15"/>
  </si>
  <si>
    <t>Year 2018</t>
    <phoneticPr fontId="15"/>
  </si>
  <si>
    <t>Year 2019</t>
    <phoneticPr fontId="15"/>
  </si>
  <si>
    <t>Year 2020</t>
    <phoneticPr fontId="15"/>
  </si>
  <si>
    <t>Year 2021</t>
    <phoneticPr fontId="15"/>
  </si>
  <si>
    <t>Year 2022</t>
    <phoneticPr fontId="15"/>
  </si>
  <si>
    <t>Year 2023</t>
    <phoneticPr fontId="15"/>
  </si>
  <si>
    <t>Year 2024</t>
    <phoneticPr fontId="15"/>
  </si>
  <si>
    <t>Year 2025</t>
    <phoneticPr fontId="15"/>
  </si>
  <si>
    <t>N/A</t>
    <phoneticPr fontId="15"/>
  </si>
  <si>
    <t>Acquisition Period of Tractor</t>
    <phoneticPr fontId="15"/>
  </si>
  <si>
    <t>Year</t>
    <phoneticPr fontId="15"/>
  </si>
  <si>
    <t>&gt;2018</t>
    <phoneticPr fontId="15"/>
  </si>
  <si>
    <t>N/A</t>
    <phoneticPr fontId="15"/>
  </si>
  <si>
    <t>Acquisition Period of Combine Harvester</t>
    <phoneticPr fontId="15"/>
  </si>
  <si>
    <t>Walaldé</t>
  </si>
  <si>
    <t>Walaldé</t>
    <phoneticPr fontId="15"/>
  </si>
  <si>
    <t>Pété</t>
  </si>
  <si>
    <t>Pété</t>
    <phoneticPr fontId="15"/>
  </si>
  <si>
    <t>Fanaye</t>
    <phoneticPr fontId="15"/>
  </si>
  <si>
    <t>Golléré</t>
  </si>
  <si>
    <t>Golléré</t>
    <phoneticPr fontId="15"/>
  </si>
  <si>
    <t>Podor</t>
  </si>
  <si>
    <t>Podor</t>
    <phoneticPr fontId="15"/>
  </si>
  <si>
    <t>Madina Diathbé</t>
  </si>
  <si>
    <t>Madina Diathbé</t>
    <phoneticPr fontId="15"/>
  </si>
  <si>
    <t>Mbolo Birane</t>
  </si>
  <si>
    <t>Mbolo Birane</t>
    <phoneticPr fontId="15"/>
  </si>
  <si>
    <t>Boké Dialloubé</t>
  </si>
  <si>
    <t>Boké Dialloubé</t>
    <phoneticPr fontId="15"/>
  </si>
  <si>
    <t>Ndiayenne Pendao</t>
    <phoneticPr fontId="15"/>
  </si>
  <si>
    <t>Ndioum</t>
    <phoneticPr fontId="15"/>
  </si>
  <si>
    <t>Méry</t>
  </si>
  <si>
    <t>Méry</t>
    <phoneticPr fontId="15"/>
  </si>
  <si>
    <t>Dodel</t>
    <phoneticPr fontId="15"/>
  </si>
  <si>
    <t>Démette</t>
  </si>
  <si>
    <t>Démette</t>
    <phoneticPr fontId="15"/>
  </si>
  <si>
    <t>Cas Cas / Saldé</t>
    <phoneticPr fontId="15"/>
  </si>
  <si>
    <t>Nombre de tracteurs</t>
    <phoneticPr fontId="15"/>
  </si>
  <si>
    <t>Secteur</t>
    <phoneticPr fontId="15"/>
  </si>
  <si>
    <t>Secteur</t>
    <phoneticPr fontId="15"/>
  </si>
  <si>
    <t>Thillé Boubacar</t>
    <phoneticPr fontId="15"/>
  </si>
  <si>
    <t>Thillé Boubacar</t>
    <phoneticPr fontId="15"/>
  </si>
  <si>
    <t>Gamadji Saré</t>
    <phoneticPr fontId="15"/>
  </si>
  <si>
    <t>Gamadji Saré</t>
    <phoneticPr fontId="15"/>
  </si>
  <si>
    <t>Cas Cas / Saldé</t>
    <phoneticPr fontId="15"/>
  </si>
  <si>
    <t>Commune</t>
    <phoneticPr fontId="15"/>
  </si>
  <si>
    <t>Bon état</t>
    <phoneticPr fontId="15"/>
  </si>
  <si>
    <t>Panne</t>
    <phoneticPr fontId="15"/>
  </si>
  <si>
    <t>Dodel</t>
    <phoneticPr fontId="15"/>
  </si>
  <si>
    <t>Madina Diathbé</t>
    <phoneticPr fontId="15"/>
  </si>
  <si>
    <t>Mbolo Birane</t>
    <phoneticPr fontId="15"/>
  </si>
  <si>
    <t>type materiel</t>
    <phoneticPr fontId="15"/>
  </si>
  <si>
    <t>Type materiel</t>
    <phoneticPr fontId="15"/>
  </si>
  <si>
    <t>Aéré Lao</t>
    <phoneticPr fontId="15"/>
  </si>
  <si>
    <t>Guede Village</t>
    <phoneticPr fontId="15"/>
  </si>
  <si>
    <t>Niandane</t>
    <phoneticPr fontId="15"/>
  </si>
  <si>
    <t>Nombre de moissonneuses-batteuses</t>
    <phoneticPr fontId="15"/>
  </si>
  <si>
    <t>Moissonneuses-batteuses</t>
    <phoneticPr fontId="15"/>
  </si>
  <si>
    <t>Sous-total</t>
    <phoneticPr fontId="15"/>
  </si>
  <si>
    <t>Number of 
Operational Machine</t>
    <phoneticPr fontId="15"/>
  </si>
  <si>
    <t>Tractor</t>
    <phoneticPr fontId="19"/>
  </si>
  <si>
    <t>Service Provider
(Extract)</t>
    <phoneticPr fontId="19"/>
  </si>
  <si>
    <t>Service Provider
(List)</t>
    <phoneticPr fontId="19"/>
  </si>
  <si>
    <t>Combine Harvester</t>
    <phoneticPr fontId="19"/>
  </si>
  <si>
    <t>List of Service provider</t>
    <phoneticPr fontId="19"/>
  </si>
  <si>
    <t>Form</t>
    <phoneticPr fontId="19"/>
  </si>
  <si>
    <t>PELLITAL (prestataire Aéré)</t>
    <phoneticPr fontId="15"/>
  </si>
  <si>
    <t>Union des GIE de Aéré Lao SP 2</t>
    <phoneticPr fontId="15"/>
  </si>
  <si>
    <t>Inventory Result (Podor)</t>
    <phoneticPr fontId="23"/>
  </si>
  <si>
    <t>Marque</t>
    <phoneticPr fontId="15"/>
  </si>
  <si>
    <t>KARTAR</t>
    <phoneticPr fontId="15"/>
  </si>
  <si>
    <t>Moissonneuse batteuse VALTRA pneu</t>
    <phoneticPr fontId="15"/>
  </si>
  <si>
    <t>VALTRA</t>
    <phoneticPr fontId="15"/>
  </si>
  <si>
    <t>Moissonneuse batteuse Massey Fergusson pneu</t>
    <phoneticPr fontId="15"/>
  </si>
  <si>
    <t>Massey Fergusson</t>
    <phoneticPr fontId="15"/>
  </si>
  <si>
    <t>TRACTEUR VALTRA DE 88 CV + PULVERISEUR OFFSET DE 20 DISQUES TRAINE</t>
    <phoneticPr fontId="15"/>
  </si>
  <si>
    <t>Tracteur 125CV+Offset 28 disques Jonh deer</t>
    <phoneticPr fontId="15"/>
  </si>
  <si>
    <t>tracteur 100 CV +Offset 24 disques TAFE</t>
    <phoneticPr fontId="15"/>
  </si>
  <si>
    <t>TAFE</t>
    <phoneticPr fontId="15"/>
  </si>
  <si>
    <t>Tracteur 100CV+Offset 24 disques Dushter et remorque 10 T</t>
    <phoneticPr fontId="15"/>
  </si>
  <si>
    <t>Thillé Boubacar</t>
    <phoneticPr fontId="15"/>
  </si>
  <si>
    <t>Modelé</t>
    <phoneticPr fontId="15"/>
  </si>
  <si>
    <t>Numéro de série</t>
    <phoneticPr fontId="15"/>
  </si>
  <si>
    <t>Moissonneuse batteuse à chenille FM WORLD</t>
    <phoneticPr fontId="15"/>
  </si>
  <si>
    <t>FM WORLD</t>
  </si>
  <si>
    <t>FM WORLD</t>
    <phoneticPr fontId="15"/>
  </si>
  <si>
    <t>Tracteur 80CV+Offset 18 disques New Holland</t>
    <phoneticPr fontId="15"/>
  </si>
  <si>
    <t>New Holland</t>
    <phoneticPr fontId="15"/>
  </si>
  <si>
    <t>Claas</t>
    <phoneticPr fontId="15"/>
  </si>
  <si>
    <t>Moissonneuse batteuse Massey Fergusson pneu</t>
    <phoneticPr fontId="15"/>
  </si>
  <si>
    <t>Massey Fergusson</t>
    <phoneticPr fontId="15"/>
  </si>
  <si>
    <t>Autre</t>
    <phoneticPr fontId="15"/>
  </si>
  <si>
    <t>Tracteur 125CV+Offset 28 disques Jonh deer</t>
    <phoneticPr fontId="15"/>
  </si>
  <si>
    <t>CASE</t>
    <phoneticPr fontId="15"/>
  </si>
  <si>
    <t>Jonh Deer</t>
    <phoneticPr fontId="15"/>
  </si>
  <si>
    <t>Moissonneuse batteuse à chenille FM WORLD</t>
    <phoneticPr fontId="15"/>
  </si>
  <si>
    <t>Union</t>
    <phoneticPr fontId="15"/>
  </si>
  <si>
    <t>Moissonneuse batteuse VALTRA pneu</t>
    <phoneticPr fontId="15"/>
  </si>
  <si>
    <t>VALTRA</t>
    <phoneticPr fontId="15"/>
  </si>
  <si>
    <t>Tracteur 132 CV + Offset 26 disques traine  VALTRA</t>
    <phoneticPr fontId="15"/>
  </si>
  <si>
    <t>FM WORLD</t>
    <phoneticPr fontId="15"/>
  </si>
  <si>
    <t>Tracteur</t>
    <phoneticPr fontId="15"/>
  </si>
  <si>
    <t xml:space="preserve">Moissonneuse Batteuse </t>
    <phoneticPr fontId="15"/>
  </si>
  <si>
    <t>type materiel</t>
    <phoneticPr fontId="15"/>
  </si>
  <si>
    <t>SV Crop cruiser</t>
  </si>
  <si>
    <t>BC 4500</t>
  </si>
  <si>
    <t>32 Advanced</t>
  </si>
  <si>
    <t>BC 4600</t>
  </si>
  <si>
    <t>SPEM</t>
  </si>
  <si>
    <t>Modèle</t>
  </si>
  <si>
    <t>DR50E22-1</t>
  </si>
  <si>
    <t>RUILONG</t>
  </si>
  <si>
    <t>4LZ-4.0E</t>
  </si>
  <si>
    <t>TC5.30</t>
  </si>
  <si>
    <t>CROP TIGER 40</t>
  </si>
  <si>
    <t>T6050</t>
  </si>
  <si>
    <t>1002 Heritage</t>
  </si>
  <si>
    <t>DEUTZ-FAHR</t>
  </si>
  <si>
    <t>6130W Profi</t>
  </si>
  <si>
    <t>A750L</t>
  </si>
  <si>
    <t>7240 ACTIVA</t>
  </si>
  <si>
    <t>TD80D</t>
  </si>
  <si>
    <t>BM125I</t>
  </si>
  <si>
    <t>6125 D</t>
  </si>
  <si>
    <t>MF 6S 180</t>
  </si>
  <si>
    <t>BM 125I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</si>
</sst>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General"/>
  </numFmts>
  <fonts count="24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rgb="FFFF0000"/>
      <name val="Arial Narrow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sz val="12"/>
      <name val="Arial Narrow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sz val="12"/>
      <color theme="7" tint="0.39997558519241921"/>
      <name val="Arial Narrow"/>
      <family val="2"/>
    </font>
    <font>
      <sz val="12"/>
      <color theme="1"/>
      <name val="Times New Roman"/>
      <family val="1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Arial  "/>
    </font>
    <font>
      <sz val="6"/>
      <name val="Calibri"/>
      <family val="2"/>
      <charset val="128"/>
      <scheme val="minor"/>
    </font>
    <font>
      <b/>
      <sz val="8"/>
      <name val="Arial  "/>
    </font>
    <font>
      <sz val="9"/>
      <name val="Arial  "/>
      <family val="2"/>
    </font>
    <font>
      <sz val="9"/>
      <color theme="1"/>
      <name val="Arial  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Border="0" applyProtection="0"/>
    <xf numFmtId="9" fontId="16" fillId="0" borderId="0" applyFont="0" applyFill="0" applyBorder="0" applyAlignment="0" applyProtection="0">
      <alignment vertical="center"/>
    </xf>
  </cellStyleXfs>
  <cellXfs count="14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164" fontId="5" fillId="0" borderId="5" xfId="1" applyFont="1" applyBorder="1" applyAlignment="1">
      <alignment vertical="center" wrapText="1"/>
    </xf>
    <xf numFmtId="164" fontId="5" fillId="0" borderId="5" xfId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164" fontId="9" fillId="0" borderId="5" xfId="1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0" fillId="3" borderId="0" xfId="0" applyFill="1"/>
    <xf numFmtId="0" fontId="1" fillId="3" borderId="0" xfId="0" applyFont="1" applyFill="1"/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164" fontId="9" fillId="0" borderId="5" xfId="1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/>
    <xf numFmtId="0" fontId="9" fillId="0" borderId="9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164" fontId="9" fillId="3" borderId="5" xfId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/>
    <xf numFmtId="0" fontId="11" fillId="3" borderId="0" xfId="0" applyFont="1" applyFill="1"/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3" fillId="0" borderId="0" xfId="0" applyFont="1"/>
    <xf numFmtId="0" fontId="13" fillId="3" borderId="0" xfId="0" applyFont="1" applyFill="1"/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9" fillId="0" borderId="5" xfId="1" applyFont="1" applyBorder="1" applyAlignment="1">
      <alignment horizontal="left" vertical="center" wrapText="1"/>
    </xf>
    <xf numFmtId="164" fontId="9" fillId="0" borderId="5" xfId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 wrapText="1"/>
    </xf>
    <xf numFmtId="164" fontId="14" fillId="0" borderId="5" xfId="1" applyFont="1" applyBorder="1" applyAlignment="1">
      <alignment horizontal="left" vertical="center" wrapText="1"/>
    </xf>
    <xf numFmtId="164" fontId="14" fillId="0" borderId="5" xfId="1" applyFont="1" applyBorder="1" applyAlignment="1">
      <alignment horizontal="center" vertical="center" wrapText="1"/>
    </xf>
    <xf numFmtId="164" fontId="14" fillId="0" borderId="5" xfId="1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164" fontId="14" fillId="0" borderId="5" xfId="1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3" borderId="6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6" fillId="0" borderId="0" xfId="0" applyFont="1"/>
    <xf numFmtId="0" fontId="17" fillId="0" borderId="0" xfId="0" applyFont="1"/>
    <xf numFmtId="0" fontId="17" fillId="0" borderId="13" xfId="0" applyFont="1" applyBorder="1" applyAlignment="1">
      <alignment horizontal="center"/>
    </xf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17" fillId="0" borderId="14" xfId="0" applyFont="1" applyBorder="1" applyAlignment="1">
      <alignment horizontal="centerContinuous"/>
    </xf>
    <xf numFmtId="0" fontId="6" fillId="0" borderId="14" xfId="0" applyFont="1" applyBorder="1"/>
    <xf numFmtId="0" fontId="17" fillId="0" borderId="13" xfId="0" applyFont="1" applyBorder="1"/>
    <xf numFmtId="0" fontId="17" fillId="0" borderId="0" xfId="0" applyFont="1" applyAlignment="1">
      <alignment horizontal="center"/>
    </xf>
    <xf numFmtId="9" fontId="6" fillId="0" borderId="13" xfId="2" applyFont="1" applyBorder="1" applyAlignment="1"/>
    <xf numFmtId="0" fontId="0" fillId="0" borderId="4" xfId="0" applyBorder="1"/>
    <xf numFmtId="0" fontId="14" fillId="0" borderId="0" xfId="0" applyFont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164" fontId="14" fillId="0" borderId="4" xfId="1" applyFont="1" applyBorder="1" applyAlignment="1">
      <alignment vertical="center" wrapText="1"/>
    </xf>
    <xf numFmtId="164" fontId="14" fillId="0" borderId="4" xfId="1" applyFont="1" applyBorder="1" applyAlignment="1">
      <alignment horizontal="center" vertical="center" wrapText="1"/>
    </xf>
    <xf numFmtId="164" fontId="14" fillId="3" borderId="4" xfId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3" borderId="4" xfId="0" applyFill="1" applyBorder="1"/>
    <xf numFmtId="0" fontId="6" fillId="0" borderId="4" xfId="0" applyFont="1" applyBorder="1" applyAlignment="1">
      <alignment horizontal="center" vertical="center"/>
    </xf>
    <xf numFmtId="164" fontId="14" fillId="0" borderId="8" xfId="1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centerContinuous"/>
    </xf>
    <xf numFmtId="0" fontId="18" fillId="0" borderId="5" xfId="0" applyFont="1" applyBorder="1" applyAlignment="1" applyProtection="1">
      <alignment horizontal="centerContinuous" vertical="center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2" fillId="0" borderId="5" xfId="0" applyFont="1" applyBorder="1" applyAlignment="1">
      <alignment vertical="center"/>
    </xf>
    <xf numFmtId="0" fontId="1" fillId="0" borderId="5" xfId="0" applyFont="1" applyBorder="1"/>
    <xf numFmtId="0" fontId="2" fillId="0" borderId="5" xfId="0" applyFont="1" applyBorder="1"/>
    <xf numFmtId="0" fontId="1" fillId="3" borderId="5" xfId="0" applyFont="1" applyFill="1" applyBorder="1"/>
    <xf numFmtId="0" fontId="10" fillId="0" borderId="5" xfId="0" applyFont="1" applyBorder="1"/>
    <xf numFmtId="0" fontId="1" fillId="0" borderId="5" xfId="0" applyFont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1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4" fillId="3" borderId="0" xfId="0" applyFont="1" applyFill="1" applyAlignment="1">
      <alignment vertical="center" wrapText="1"/>
    </xf>
    <xf numFmtId="0" fontId="17" fillId="0" borderId="13" xfId="0" applyFont="1" applyBorder="1" applyAlignment="1">
      <alignment horizontal="center" vertical="center"/>
    </xf>
  </cellXfs>
  <cellStyles count="3">
    <cellStyle name="Excel Built-in Normal" xfId="1" xr:uid="{00000000-0005-0000-0000-000000000000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38"/>
  <sheetViews>
    <sheetView zoomScale="110" zoomScaleNormal="110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I26" sqref="I26:J26"/>
    </sheetView>
  </sheetViews>
  <sheetFormatPr baseColWidth="10" defaultColWidth="11.54296875" defaultRowHeight="14.5"/>
  <cols>
    <col min="2" max="2" width="19" bestFit="1" customWidth="1"/>
    <col min="3" max="3" width="30" customWidth="1"/>
    <col min="4" max="4" width="30.90625" customWidth="1"/>
    <col min="5" max="5" width="22.08984375" customWidth="1"/>
    <col min="6" max="6" width="18.90625" customWidth="1"/>
    <col min="7" max="10" width="22.6328125" customWidth="1"/>
    <col min="11" max="11" width="15.6328125" customWidth="1"/>
    <col min="12" max="12" width="18.08984375" customWidth="1"/>
    <col min="13" max="13" width="18.54296875" customWidth="1"/>
    <col min="14" max="14" width="20" customWidth="1"/>
    <col min="15" max="15" width="15.90625" customWidth="1"/>
    <col min="16" max="16" width="14.90625" customWidth="1"/>
    <col min="17" max="17" width="12.90625" customWidth="1"/>
  </cols>
  <sheetData>
    <row r="1" spans="1:18" ht="15" thickBot="1"/>
    <row r="2" spans="1:18" ht="16" thickBot="1">
      <c r="A2" s="11" t="s">
        <v>0</v>
      </c>
      <c r="B2" s="12" t="s">
        <v>1</v>
      </c>
      <c r="C2" s="13" t="s">
        <v>2</v>
      </c>
      <c r="D2" s="13" t="s">
        <v>473</v>
      </c>
      <c r="E2" s="13" t="s">
        <v>4</v>
      </c>
      <c r="F2" s="13" t="s">
        <v>5</v>
      </c>
      <c r="G2" s="13" t="s">
        <v>6</v>
      </c>
      <c r="H2" s="13" t="s">
        <v>439</v>
      </c>
      <c r="I2" s="13" t="s">
        <v>479</v>
      </c>
      <c r="J2" s="13" t="s">
        <v>452</v>
      </c>
      <c r="K2" s="13" t="s">
        <v>7</v>
      </c>
      <c r="L2" s="13" t="s">
        <v>8</v>
      </c>
      <c r="M2" s="13" t="s">
        <v>197</v>
      </c>
      <c r="N2" s="13" t="s">
        <v>9</v>
      </c>
      <c r="O2" s="13" t="s">
        <v>10</v>
      </c>
      <c r="P2" s="14" t="s">
        <v>251</v>
      </c>
      <c r="Q2" s="14" t="s">
        <v>11</v>
      </c>
    </row>
    <row r="3" spans="1:18" ht="31">
      <c r="A3" s="15" t="s">
        <v>81</v>
      </c>
      <c r="B3" s="16" t="s">
        <v>176</v>
      </c>
      <c r="C3" s="16" t="s">
        <v>328</v>
      </c>
      <c r="D3" s="16" t="s">
        <v>472</v>
      </c>
      <c r="E3" s="16" t="s">
        <v>162</v>
      </c>
      <c r="F3" s="16" t="s">
        <v>24</v>
      </c>
      <c r="G3" s="16" t="s">
        <v>162</v>
      </c>
      <c r="H3" s="16" t="s">
        <v>440</v>
      </c>
      <c r="I3" s="16" t="s">
        <v>474</v>
      </c>
      <c r="J3" s="16"/>
      <c r="K3" s="17" t="s">
        <v>233</v>
      </c>
      <c r="L3" s="16" t="s">
        <v>153</v>
      </c>
      <c r="M3" s="16" t="s">
        <v>176</v>
      </c>
      <c r="N3" s="17">
        <v>2018</v>
      </c>
      <c r="O3" s="17" t="s">
        <v>28</v>
      </c>
      <c r="P3" s="17"/>
      <c r="Q3" s="16" t="s">
        <v>132</v>
      </c>
    </row>
    <row r="4" spans="1:18" ht="31">
      <c r="A4" s="15" t="s">
        <v>81</v>
      </c>
      <c r="B4" s="16" t="s">
        <v>176</v>
      </c>
      <c r="C4" s="16" t="s">
        <v>441</v>
      </c>
      <c r="D4" s="16" t="s">
        <v>330</v>
      </c>
      <c r="E4" s="16" t="s">
        <v>167</v>
      </c>
      <c r="F4" s="16" t="s">
        <v>15</v>
      </c>
      <c r="G4" s="16" t="s">
        <v>180</v>
      </c>
      <c r="H4" s="16" t="s">
        <v>442</v>
      </c>
      <c r="I4" s="16" t="s">
        <v>477</v>
      </c>
      <c r="J4" s="16"/>
      <c r="K4" s="17" t="s">
        <v>143</v>
      </c>
      <c r="L4" s="16" t="s">
        <v>129</v>
      </c>
      <c r="M4" s="16" t="s">
        <v>176</v>
      </c>
      <c r="N4" s="17">
        <v>2014</v>
      </c>
      <c r="O4" s="17" t="s">
        <v>18</v>
      </c>
      <c r="P4" s="17"/>
      <c r="Q4" s="16" t="s">
        <v>132</v>
      </c>
    </row>
    <row r="5" spans="1:18" ht="31">
      <c r="A5" s="15" t="s">
        <v>81</v>
      </c>
      <c r="B5" s="16" t="s">
        <v>176</v>
      </c>
      <c r="C5" s="16" t="s">
        <v>327</v>
      </c>
      <c r="D5" s="16" t="s">
        <v>330</v>
      </c>
      <c r="E5" s="16" t="s">
        <v>167</v>
      </c>
      <c r="F5" s="16" t="s">
        <v>15</v>
      </c>
      <c r="G5" s="16" t="s">
        <v>180</v>
      </c>
      <c r="H5" s="16" t="s">
        <v>442</v>
      </c>
      <c r="I5" s="16" t="s">
        <v>475</v>
      </c>
      <c r="J5" s="16"/>
      <c r="K5" s="17" t="s">
        <v>143</v>
      </c>
      <c r="L5" s="16" t="s">
        <v>129</v>
      </c>
      <c r="M5" s="16" t="s">
        <v>176</v>
      </c>
      <c r="N5" s="17">
        <v>2019</v>
      </c>
      <c r="O5" s="17" t="s">
        <v>28</v>
      </c>
      <c r="P5" s="17"/>
      <c r="Q5" s="16" t="s">
        <v>29</v>
      </c>
    </row>
    <row r="6" spans="1:18" s="37" customFormat="1" ht="31">
      <c r="A6" s="52" t="s">
        <v>81</v>
      </c>
      <c r="B6" s="43" t="s">
        <v>176</v>
      </c>
      <c r="C6" s="43" t="s">
        <v>329</v>
      </c>
      <c r="D6" s="43" t="s">
        <v>330</v>
      </c>
      <c r="E6" s="43" t="s">
        <v>167</v>
      </c>
      <c r="F6" s="43" t="s">
        <v>15</v>
      </c>
      <c r="G6" s="43" t="s">
        <v>180</v>
      </c>
      <c r="H6" s="43" t="s">
        <v>478</v>
      </c>
      <c r="I6" s="43" t="s">
        <v>480</v>
      </c>
      <c r="J6" s="43"/>
      <c r="K6" s="53" t="s">
        <v>143</v>
      </c>
      <c r="L6" s="43" t="s">
        <v>129</v>
      </c>
      <c r="M6" s="43" t="s">
        <v>176</v>
      </c>
      <c r="N6" s="53">
        <v>2021</v>
      </c>
      <c r="O6" s="53" t="s">
        <v>282</v>
      </c>
      <c r="P6" s="53"/>
      <c r="Q6" s="43" t="s">
        <v>29</v>
      </c>
    </row>
    <row r="7" spans="1:18" s="37" customFormat="1" ht="31">
      <c r="A7" s="52" t="s">
        <v>81</v>
      </c>
      <c r="B7" s="43" t="s">
        <v>410</v>
      </c>
      <c r="C7" s="43" t="s">
        <v>443</v>
      </c>
      <c r="D7" s="43" t="s">
        <v>330</v>
      </c>
      <c r="E7" s="43" t="s">
        <v>171</v>
      </c>
      <c r="F7" s="43" t="s">
        <v>172</v>
      </c>
      <c r="G7" s="43" t="s">
        <v>173</v>
      </c>
      <c r="H7" s="43" t="s">
        <v>444</v>
      </c>
      <c r="I7" s="43" t="s">
        <v>476</v>
      </c>
      <c r="J7" s="43"/>
      <c r="K7" s="54" t="s">
        <v>242</v>
      </c>
      <c r="L7" s="43" t="s">
        <v>153</v>
      </c>
      <c r="M7" s="43" t="s">
        <v>176</v>
      </c>
      <c r="N7" s="53">
        <v>2019</v>
      </c>
      <c r="O7" s="53" t="s">
        <v>28</v>
      </c>
      <c r="P7" s="53"/>
      <c r="Q7" s="43" t="s">
        <v>132</v>
      </c>
    </row>
    <row r="8" spans="1:18" s="37" customFormat="1" ht="46.5" hidden="1">
      <c r="A8" s="52" t="s">
        <v>81</v>
      </c>
      <c r="B8" s="43" t="s">
        <v>176</v>
      </c>
      <c r="C8" s="43" t="s">
        <v>445</v>
      </c>
      <c r="D8" s="43" t="s">
        <v>13</v>
      </c>
      <c r="E8" s="43" t="s">
        <v>60</v>
      </c>
      <c r="F8" s="43" t="s">
        <v>15</v>
      </c>
      <c r="G8" s="43" t="s">
        <v>61</v>
      </c>
      <c r="H8" s="16" t="s">
        <v>442</v>
      </c>
      <c r="I8" s="16" t="s">
        <v>492</v>
      </c>
      <c r="J8" s="16"/>
      <c r="K8" s="53" t="s">
        <v>62</v>
      </c>
      <c r="L8" s="43" t="s">
        <v>63</v>
      </c>
      <c r="M8" s="43" t="s">
        <v>176</v>
      </c>
      <c r="N8" s="53">
        <v>2014</v>
      </c>
      <c r="O8" s="53" t="s">
        <v>18</v>
      </c>
      <c r="P8" s="53"/>
      <c r="Q8" s="43" t="s">
        <v>132</v>
      </c>
    </row>
    <row r="9" spans="1:18" s="37" customFormat="1" ht="31" hidden="1">
      <c r="A9" s="52" t="s">
        <v>81</v>
      </c>
      <c r="B9" s="43" t="s">
        <v>450</v>
      </c>
      <c r="C9" s="43" t="s">
        <v>12</v>
      </c>
      <c r="D9" s="43" t="s">
        <v>13</v>
      </c>
      <c r="E9" s="43" t="s">
        <v>127</v>
      </c>
      <c r="F9" s="43" t="s">
        <v>15</v>
      </c>
      <c r="G9" s="43" t="s">
        <v>128</v>
      </c>
      <c r="H9" s="16" t="s">
        <v>442</v>
      </c>
      <c r="I9" s="16" t="s">
        <v>489</v>
      </c>
      <c r="J9" s="16"/>
      <c r="K9" s="53" t="s">
        <v>243</v>
      </c>
      <c r="L9" s="43" t="s">
        <v>129</v>
      </c>
      <c r="M9" s="43" t="s">
        <v>176</v>
      </c>
      <c r="N9" s="53">
        <v>2014</v>
      </c>
      <c r="O9" s="53" t="s">
        <v>18</v>
      </c>
      <c r="P9" s="53"/>
      <c r="Q9" s="43" t="s">
        <v>359</v>
      </c>
    </row>
    <row r="10" spans="1:18" s="37" customFormat="1" ht="46.5" hidden="1">
      <c r="A10" s="52" t="s">
        <v>81</v>
      </c>
      <c r="B10" s="43" t="s">
        <v>176</v>
      </c>
      <c r="C10" s="43" t="s">
        <v>12</v>
      </c>
      <c r="D10" s="43" t="s">
        <v>471</v>
      </c>
      <c r="E10" s="43" t="s">
        <v>130</v>
      </c>
      <c r="F10" s="43" t="s">
        <v>15</v>
      </c>
      <c r="G10" s="43" t="s">
        <v>131</v>
      </c>
      <c r="H10" s="16" t="s">
        <v>442</v>
      </c>
      <c r="I10" s="16" t="s">
        <v>489</v>
      </c>
      <c r="J10" s="16"/>
      <c r="K10" s="53" t="s">
        <v>244</v>
      </c>
      <c r="L10" s="43" t="s">
        <v>205</v>
      </c>
      <c r="M10" s="43" t="s">
        <v>176</v>
      </c>
      <c r="N10" s="53">
        <v>2014</v>
      </c>
      <c r="O10" s="53" t="s">
        <v>18</v>
      </c>
      <c r="P10" s="53"/>
      <c r="Q10" s="43" t="s">
        <v>132</v>
      </c>
      <c r="R10" s="55" t="s">
        <v>283</v>
      </c>
    </row>
    <row r="11" spans="1:18" ht="46.5" hidden="1">
      <c r="A11" s="15" t="s">
        <v>81</v>
      </c>
      <c r="B11" s="16" t="s">
        <v>176</v>
      </c>
      <c r="C11" s="16" t="s">
        <v>56</v>
      </c>
      <c r="D11" s="16" t="s">
        <v>13</v>
      </c>
      <c r="E11" s="16" t="s">
        <v>133</v>
      </c>
      <c r="F11" s="16" t="s">
        <v>15</v>
      </c>
      <c r="G11" s="43" t="s">
        <v>155</v>
      </c>
      <c r="H11" s="16" t="s">
        <v>442</v>
      </c>
      <c r="I11" s="16" t="s">
        <v>489</v>
      </c>
      <c r="J11" s="16"/>
      <c r="K11" s="17" t="s">
        <v>134</v>
      </c>
      <c r="L11" s="16" t="s">
        <v>63</v>
      </c>
      <c r="M11" s="16" t="s">
        <v>176</v>
      </c>
      <c r="N11" s="17">
        <v>2014</v>
      </c>
      <c r="O11" s="17" t="s">
        <v>18</v>
      </c>
      <c r="P11" s="17"/>
      <c r="Q11" s="16" t="s">
        <v>19</v>
      </c>
      <c r="R11" s="42" t="s">
        <v>284</v>
      </c>
    </row>
    <row r="12" spans="1:18" ht="46.5" hidden="1">
      <c r="A12" s="15" t="s">
        <v>81</v>
      </c>
      <c r="B12" s="16" t="s">
        <v>176</v>
      </c>
      <c r="C12" s="16" t="s">
        <v>56</v>
      </c>
      <c r="D12" s="16" t="s">
        <v>13</v>
      </c>
      <c r="E12" s="16" t="s">
        <v>135</v>
      </c>
      <c r="F12" s="16" t="s">
        <v>15</v>
      </c>
      <c r="G12" s="43" t="s">
        <v>136</v>
      </c>
      <c r="H12" s="16" t="s">
        <v>442</v>
      </c>
      <c r="I12" s="16" t="s">
        <v>489</v>
      </c>
      <c r="J12" s="16"/>
      <c r="K12" s="17" t="s">
        <v>137</v>
      </c>
      <c r="L12" s="16" t="s">
        <v>63</v>
      </c>
      <c r="M12" s="16" t="s">
        <v>176</v>
      </c>
      <c r="N12" s="17">
        <v>2014</v>
      </c>
      <c r="O12" s="17" t="s">
        <v>18</v>
      </c>
      <c r="P12" s="17"/>
      <c r="Q12" s="16" t="s">
        <v>19</v>
      </c>
    </row>
    <row r="13" spans="1:18" ht="31" hidden="1">
      <c r="A13" s="15" t="s">
        <v>81</v>
      </c>
      <c r="B13" s="16" t="s">
        <v>176</v>
      </c>
      <c r="C13" s="16" t="s">
        <v>446</v>
      </c>
      <c r="D13" s="16" t="s">
        <v>13</v>
      </c>
      <c r="E13" s="16" t="s">
        <v>138</v>
      </c>
      <c r="F13" s="16" t="s">
        <v>15</v>
      </c>
      <c r="G13" s="16" t="s">
        <v>139</v>
      </c>
      <c r="H13" s="16" t="s">
        <v>464</v>
      </c>
      <c r="I13" s="16">
        <v>6125</v>
      </c>
      <c r="J13" s="16"/>
      <c r="K13" s="17" t="s">
        <v>140</v>
      </c>
      <c r="L13" s="16" t="s">
        <v>129</v>
      </c>
      <c r="M13" s="16" t="s">
        <v>176</v>
      </c>
      <c r="N13" s="17">
        <v>2015</v>
      </c>
      <c r="O13" s="17" t="s">
        <v>28</v>
      </c>
      <c r="P13" s="17"/>
      <c r="Q13" s="16" t="s">
        <v>29</v>
      </c>
    </row>
    <row r="14" spans="1:18" ht="31" hidden="1">
      <c r="A14" s="15" t="s">
        <v>81</v>
      </c>
      <c r="B14" s="16" t="s">
        <v>176</v>
      </c>
      <c r="C14" s="16" t="s">
        <v>22</v>
      </c>
      <c r="D14" s="16" t="s">
        <v>13</v>
      </c>
      <c r="E14" s="16" t="s">
        <v>141</v>
      </c>
      <c r="F14" s="16" t="s">
        <v>15</v>
      </c>
      <c r="G14" s="16" t="s">
        <v>142</v>
      </c>
      <c r="H14" s="16" t="s">
        <v>464</v>
      </c>
      <c r="I14" s="16">
        <v>6125</v>
      </c>
      <c r="J14" s="16"/>
      <c r="K14" s="17" t="s">
        <v>143</v>
      </c>
      <c r="L14" s="16" t="s">
        <v>129</v>
      </c>
      <c r="M14" s="16" t="s">
        <v>176</v>
      </c>
      <c r="N14" s="17">
        <v>2015</v>
      </c>
      <c r="O14" s="17" t="s">
        <v>28</v>
      </c>
      <c r="P14" s="17"/>
      <c r="Q14" s="16" t="s">
        <v>29</v>
      </c>
    </row>
    <row r="15" spans="1:18" ht="31" hidden="1">
      <c r="A15" s="15" t="s">
        <v>81</v>
      </c>
      <c r="B15" s="16" t="s">
        <v>176</v>
      </c>
      <c r="C15" s="16" t="s">
        <v>22</v>
      </c>
      <c r="D15" s="16" t="s">
        <v>13</v>
      </c>
      <c r="E15" s="16" t="s">
        <v>144</v>
      </c>
      <c r="F15" s="16" t="s">
        <v>15</v>
      </c>
      <c r="G15" s="16" t="s">
        <v>145</v>
      </c>
      <c r="H15" s="16" t="s">
        <v>464</v>
      </c>
      <c r="I15" s="16">
        <v>6125</v>
      </c>
      <c r="J15" s="16"/>
      <c r="K15" s="17" t="s">
        <v>146</v>
      </c>
      <c r="L15" s="16" t="s">
        <v>63</v>
      </c>
      <c r="M15" s="16" t="s">
        <v>176</v>
      </c>
      <c r="N15" s="17">
        <v>2015</v>
      </c>
      <c r="O15" s="17" t="s">
        <v>28</v>
      </c>
      <c r="P15" s="17"/>
      <c r="Q15" s="16" t="s">
        <v>29</v>
      </c>
    </row>
    <row r="16" spans="1:18" s="30" customFormat="1" ht="31" hidden="1">
      <c r="A16" s="29" t="s">
        <v>81</v>
      </c>
      <c r="B16" s="26" t="s">
        <v>176</v>
      </c>
      <c r="C16" s="26" t="s">
        <v>447</v>
      </c>
      <c r="D16" s="26" t="s">
        <v>13</v>
      </c>
      <c r="E16" s="26" t="s">
        <v>147</v>
      </c>
      <c r="F16" s="26" t="s">
        <v>24</v>
      </c>
      <c r="G16" s="26" t="s">
        <v>148</v>
      </c>
      <c r="H16" s="26" t="s">
        <v>448</v>
      </c>
      <c r="I16" s="26" t="s">
        <v>486</v>
      </c>
      <c r="J16" s="26"/>
      <c r="K16" s="27" t="s">
        <v>245</v>
      </c>
      <c r="L16" s="26" t="s">
        <v>129</v>
      </c>
      <c r="M16" s="26" t="s">
        <v>176</v>
      </c>
      <c r="N16" s="27">
        <v>2018</v>
      </c>
      <c r="O16" s="27" t="s">
        <v>28</v>
      </c>
      <c r="P16" s="27"/>
      <c r="Q16" s="26" t="s">
        <v>417</v>
      </c>
    </row>
    <row r="17" spans="1:18" s="30" customFormat="1" ht="31" hidden="1">
      <c r="A17" s="29" t="s">
        <v>81</v>
      </c>
      <c r="B17" s="26" t="s">
        <v>176</v>
      </c>
      <c r="C17" s="26" t="s">
        <v>285</v>
      </c>
      <c r="D17" s="26" t="s">
        <v>13</v>
      </c>
      <c r="E17" s="26" t="s">
        <v>149</v>
      </c>
      <c r="F17" s="26" t="s">
        <v>15</v>
      </c>
      <c r="G17" s="26" t="s">
        <v>150</v>
      </c>
      <c r="H17" s="26" t="s">
        <v>448</v>
      </c>
      <c r="I17" s="26" t="s">
        <v>486</v>
      </c>
      <c r="J17" s="26"/>
      <c r="K17" s="27" t="s">
        <v>143</v>
      </c>
      <c r="L17" s="26" t="s">
        <v>129</v>
      </c>
      <c r="M17" s="26" t="s">
        <v>176</v>
      </c>
      <c r="N17" s="27">
        <v>2018</v>
      </c>
      <c r="O17" s="27" t="s">
        <v>28</v>
      </c>
      <c r="P17" s="27"/>
      <c r="Q17" s="26" t="s">
        <v>29</v>
      </c>
    </row>
    <row r="18" spans="1:18" s="30" customFormat="1" ht="31" hidden="1">
      <c r="A18" s="29" t="s">
        <v>81</v>
      </c>
      <c r="B18" s="26" t="s">
        <v>176</v>
      </c>
      <c r="C18" s="26" t="s">
        <v>285</v>
      </c>
      <c r="D18" s="26" t="s">
        <v>13</v>
      </c>
      <c r="E18" s="26" t="s">
        <v>151</v>
      </c>
      <c r="F18" s="26" t="s">
        <v>15</v>
      </c>
      <c r="G18" s="26" t="s">
        <v>152</v>
      </c>
      <c r="H18" s="26" t="s">
        <v>448</v>
      </c>
      <c r="I18" s="26" t="s">
        <v>486</v>
      </c>
      <c r="J18" s="26"/>
      <c r="K18" s="27" t="s">
        <v>246</v>
      </c>
      <c r="L18" s="26" t="s">
        <v>153</v>
      </c>
      <c r="M18" s="26" t="s">
        <v>176</v>
      </c>
      <c r="N18" s="27">
        <v>2018</v>
      </c>
      <c r="O18" s="27" t="s">
        <v>28</v>
      </c>
      <c r="P18" s="27"/>
      <c r="Q18" s="26" t="s">
        <v>29</v>
      </c>
    </row>
    <row r="19" spans="1:18" s="30" customFormat="1" ht="31" hidden="1">
      <c r="A19" s="29" t="s">
        <v>81</v>
      </c>
      <c r="B19" s="26" t="s">
        <v>176</v>
      </c>
      <c r="C19" s="26" t="s">
        <v>285</v>
      </c>
      <c r="D19" s="26" t="s">
        <v>13</v>
      </c>
      <c r="E19" s="26" t="s">
        <v>154</v>
      </c>
      <c r="F19" s="26" t="s">
        <v>15</v>
      </c>
      <c r="G19" s="26" t="s">
        <v>155</v>
      </c>
      <c r="H19" s="26" t="s">
        <v>448</v>
      </c>
      <c r="I19" s="26" t="s">
        <v>486</v>
      </c>
      <c r="J19" s="26"/>
      <c r="K19" s="27" t="s">
        <v>134</v>
      </c>
      <c r="L19" s="26" t="s">
        <v>63</v>
      </c>
      <c r="M19" s="26" t="s">
        <v>176</v>
      </c>
      <c r="N19" s="27">
        <v>2018</v>
      </c>
      <c r="O19" s="27" t="s">
        <v>28</v>
      </c>
      <c r="P19" s="27"/>
      <c r="Q19" s="26" t="s">
        <v>29</v>
      </c>
    </row>
    <row r="20" spans="1:18" s="30" customFormat="1" ht="46.5" hidden="1">
      <c r="A20" s="29" t="s">
        <v>81</v>
      </c>
      <c r="B20" s="26" t="s">
        <v>176</v>
      </c>
      <c r="C20" s="26" t="s">
        <v>285</v>
      </c>
      <c r="D20" s="26" t="s">
        <v>13</v>
      </c>
      <c r="E20" s="26" t="s">
        <v>156</v>
      </c>
      <c r="F20" s="26" t="s">
        <v>24</v>
      </c>
      <c r="G20" s="26" t="s">
        <v>156</v>
      </c>
      <c r="H20" s="26" t="s">
        <v>448</v>
      </c>
      <c r="I20" s="26" t="s">
        <v>486</v>
      </c>
      <c r="J20" s="26"/>
      <c r="K20" s="27" t="s">
        <v>247</v>
      </c>
      <c r="L20" s="26" t="s">
        <v>153</v>
      </c>
      <c r="M20" s="26" t="s">
        <v>176</v>
      </c>
      <c r="N20" s="27">
        <v>2018</v>
      </c>
      <c r="O20" s="27" t="s">
        <v>28</v>
      </c>
      <c r="P20" s="27"/>
      <c r="Q20" s="26" t="s">
        <v>29</v>
      </c>
    </row>
    <row r="21" spans="1:18" s="30" customFormat="1" ht="31" hidden="1">
      <c r="A21" s="29" t="s">
        <v>81</v>
      </c>
      <c r="B21" s="26" t="s">
        <v>176</v>
      </c>
      <c r="C21" s="26" t="s">
        <v>285</v>
      </c>
      <c r="D21" s="26" t="s">
        <v>13</v>
      </c>
      <c r="E21" s="26" t="s">
        <v>157</v>
      </c>
      <c r="F21" s="26" t="s">
        <v>24</v>
      </c>
      <c r="G21" s="26" t="s">
        <v>158</v>
      </c>
      <c r="H21" s="26" t="s">
        <v>448</v>
      </c>
      <c r="I21" s="26" t="s">
        <v>486</v>
      </c>
      <c r="J21" s="26"/>
      <c r="K21" s="27" t="s">
        <v>248</v>
      </c>
      <c r="L21" s="26" t="s">
        <v>63</v>
      </c>
      <c r="M21" s="26" t="s">
        <v>176</v>
      </c>
      <c r="N21" s="27">
        <v>2018</v>
      </c>
      <c r="O21" s="27" t="s">
        <v>28</v>
      </c>
      <c r="P21" s="27"/>
      <c r="Q21" s="26" t="s">
        <v>29</v>
      </c>
    </row>
    <row r="22" spans="1:18" s="30" customFormat="1" ht="31" hidden="1">
      <c r="A22" s="29" t="s">
        <v>81</v>
      </c>
      <c r="B22" s="26" t="s">
        <v>176</v>
      </c>
      <c r="C22" s="26" t="s">
        <v>285</v>
      </c>
      <c r="D22" s="26" t="s">
        <v>13</v>
      </c>
      <c r="E22" s="26" t="s">
        <v>159</v>
      </c>
      <c r="F22" s="26" t="s">
        <v>24</v>
      </c>
      <c r="G22" s="26" t="s">
        <v>159</v>
      </c>
      <c r="H22" s="26" t="s">
        <v>448</v>
      </c>
      <c r="I22" s="26" t="s">
        <v>486</v>
      </c>
      <c r="J22" s="26"/>
      <c r="K22" s="27" t="s">
        <v>249</v>
      </c>
      <c r="L22" s="26" t="s">
        <v>63</v>
      </c>
      <c r="M22" s="26" t="s">
        <v>176</v>
      </c>
      <c r="N22" s="27">
        <v>2018</v>
      </c>
      <c r="O22" s="27" t="s">
        <v>28</v>
      </c>
      <c r="P22" s="27"/>
      <c r="Q22" s="26" t="s">
        <v>29</v>
      </c>
    </row>
    <row r="23" spans="1:18" s="30" customFormat="1" ht="31" hidden="1">
      <c r="A23" s="29" t="s">
        <v>81</v>
      </c>
      <c r="B23" s="26" t="s">
        <v>176</v>
      </c>
      <c r="C23" s="26" t="s">
        <v>285</v>
      </c>
      <c r="D23" s="26" t="s">
        <v>13</v>
      </c>
      <c r="E23" s="26" t="s">
        <v>160</v>
      </c>
      <c r="F23" s="26" t="s">
        <v>24</v>
      </c>
      <c r="G23" s="26" t="s">
        <v>161</v>
      </c>
      <c r="H23" s="26" t="s">
        <v>448</v>
      </c>
      <c r="I23" s="26" t="s">
        <v>486</v>
      </c>
      <c r="J23" s="26"/>
      <c r="K23" s="27" t="s">
        <v>250</v>
      </c>
      <c r="L23" s="26" t="s">
        <v>63</v>
      </c>
      <c r="M23" s="26" t="s">
        <v>176</v>
      </c>
      <c r="N23" s="27">
        <v>2018</v>
      </c>
      <c r="O23" s="27" t="s">
        <v>28</v>
      </c>
      <c r="P23" s="27"/>
      <c r="Q23" s="26" t="s">
        <v>29</v>
      </c>
    </row>
    <row r="24" spans="1:18" ht="31" hidden="1">
      <c r="A24" s="15" t="s">
        <v>81</v>
      </c>
      <c r="B24" s="16" t="s">
        <v>176</v>
      </c>
      <c r="C24" s="16" t="s">
        <v>22</v>
      </c>
      <c r="D24" s="16" t="s">
        <v>13</v>
      </c>
      <c r="E24" s="20" t="s">
        <v>166</v>
      </c>
      <c r="F24" s="20" t="s">
        <v>15</v>
      </c>
      <c r="G24" s="20" t="s">
        <v>136</v>
      </c>
      <c r="H24" s="16" t="s">
        <v>464</v>
      </c>
      <c r="I24" s="20">
        <v>6125</v>
      </c>
      <c r="J24" s="20"/>
      <c r="K24" s="21" t="s">
        <v>137</v>
      </c>
      <c r="L24" s="20" t="s">
        <v>63</v>
      </c>
      <c r="M24" s="16" t="s">
        <v>176</v>
      </c>
      <c r="N24" s="21">
        <v>2016</v>
      </c>
      <c r="O24" s="21" t="s">
        <v>28</v>
      </c>
      <c r="P24" s="21"/>
      <c r="Q24" s="20" t="s">
        <v>29</v>
      </c>
    </row>
    <row r="25" spans="1:18" s="37" customFormat="1" ht="46.5" hidden="1">
      <c r="A25" s="32" t="s">
        <v>81</v>
      </c>
      <c r="B25" s="32" t="s">
        <v>176</v>
      </c>
      <c r="C25" s="33" t="s">
        <v>449</v>
      </c>
      <c r="D25" s="32" t="s">
        <v>13</v>
      </c>
      <c r="E25" s="34" t="s">
        <v>202</v>
      </c>
      <c r="F25" s="32" t="s">
        <v>15</v>
      </c>
      <c r="G25" s="32" t="s">
        <v>204</v>
      </c>
      <c r="H25" s="32" t="s">
        <v>487</v>
      </c>
      <c r="I25" s="32" t="s">
        <v>488</v>
      </c>
      <c r="J25" s="32"/>
      <c r="K25" s="28" t="s">
        <v>146</v>
      </c>
      <c r="L25" s="32" t="s">
        <v>205</v>
      </c>
      <c r="M25" s="32" t="s">
        <v>176</v>
      </c>
      <c r="N25" s="35">
        <v>2024</v>
      </c>
      <c r="O25" s="35" t="s">
        <v>182</v>
      </c>
      <c r="P25" s="35" t="s">
        <v>259</v>
      </c>
      <c r="Q25" s="32" t="s">
        <v>29</v>
      </c>
      <c r="R25" s="44" t="s">
        <v>278</v>
      </c>
    </row>
    <row r="26" spans="1:18" s="37" customFormat="1" ht="31">
      <c r="A26" s="32" t="s">
        <v>81</v>
      </c>
      <c r="B26" s="32" t="s">
        <v>176</v>
      </c>
      <c r="C26" s="33" t="s">
        <v>453</v>
      </c>
      <c r="D26" s="32" t="s">
        <v>40</v>
      </c>
      <c r="E26" s="34" t="s">
        <v>202</v>
      </c>
      <c r="F26" s="32" t="s">
        <v>15</v>
      </c>
      <c r="G26" s="32" t="s">
        <v>204</v>
      </c>
      <c r="H26" s="32" t="s">
        <v>455</v>
      </c>
      <c r="I26" s="32" t="s">
        <v>481</v>
      </c>
      <c r="J26" s="32" t="s">
        <v>482</v>
      </c>
      <c r="K26" s="28" t="s">
        <v>146</v>
      </c>
      <c r="L26" s="32" t="s">
        <v>205</v>
      </c>
      <c r="M26" s="32" t="s">
        <v>176</v>
      </c>
      <c r="N26" s="35">
        <v>2024</v>
      </c>
      <c r="O26" s="35" t="s">
        <v>182</v>
      </c>
      <c r="P26" s="35" t="s">
        <v>259</v>
      </c>
      <c r="Q26" s="32" t="s">
        <v>29</v>
      </c>
    </row>
    <row r="27" spans="1:18" s="37" customFormat="1" ht="46.5">
      <c r="A27" s="32" t="s">
        <v>81</v>
      </c>
      <c r="B27" s="32" t="s">
        <v>176</v>
      </c>
      <c r="C27" s="33" t="s">
        <v>203</v>
      </c>
      <c r="D27" s="32" t="s">
        <v>40</v>
      </c>
      <c r="E27" s="34" t="s">
        <v>210</v>
      </c>
      <c r="F27" s="32" t="s">
        <v>15</v>
      </c>
      <c r="G27" s="32" t="s">
        <v>227</v>
      </c>
      <c r="H27" s="32" t="s">
        <v>455</v>
      </c>
      <c r="I27" s="32" t="s">
        <v>481</v>
      </c>
      <c r="J27" s="32" t="s">
        <v>482</v>
      </c>
      <c r="K27" s="28" t="s">
        <v>215</v>
      </c>
      <c r="L27" s="32" t="s">
        <v>218</v>
      </c>
      <c r="M27" s="32" t="s">
        <v>225</v>
      </c>
      <c r="N27" s="35">
        <v>2024</v>
      </c>
      <c r="O27" s="35" t="s">
        <v>182</v>
      </c>
      <c r="P27" s="35" t="s">
        <v>259</v>
      </c>
      <c r="Q27" s="32" t="s">
        <v>29</v>
      </c>
    </row>
    <row r="28" spans="1:18" s="37" customFormat="1" ht="46.5" hidden="1">
      <c r="A28" s="78" t="s">
        <v>81</v>
      </c>
      <c r="B28" s="78" t="s">
        <v>176</v>
      </c>
      <c r="C28" s="79" t="s">
        <v>191</v>
      </c>
      <c r="D28" s="78" t="s">
        <v>13</v>
      </c>
      <c r="E28" s="84" t="s">
        <v>193</v>
      </c>
      <c r="F28" s="78" t="s">
        <v>190</v>
      </c>
      <c r="G28" s="78" t="s">
        <v>162</v>
      </c>
      <c r="H28" s="32" t="s">
        <v>487</v>
      </c>
      <c r="I28" s="32" t="s">
        <v>488</v>
      </c>
      <c r="J28" s="78"/>
      <c r="K28" s="81" t="s">
        <v>233</v>
      </c>
      <c r="L28" s="78" t="s">
        <v>194</v>
      </c>
      <c r="M28" s="78" t="s">
        <v>201</v>
      </c>
      <c r="N28" s="83">
        <v>2024</v>
      </c>
      <c r="O28" s="83" t="s">
        <v>182</v>
      </c>
      <c r="P28" s="83"/>
      <c r="Q28" s="78" t="s">
        <v>36</v>
      </c>
    </row>
    <row r="29" spans="1:18" ht="31">
      <c r="A29" s="78" t="s">
        <v>81</v>
      </c>
      <c r="B29" s="78" t="s">
        <v>176</v>
      </c>
      <c r="C29" s="79" t="s">
        <v>203</v>
      </c>
      <c r="D29" s="78" t="s">
        <v>40</v>
      </c>
      <c r="E29" s="84" t="s">
        <v>212</v>
      </c>
      <c r="F29" s="78" t="s">
        <v>15</v>
      </c>
      <c r="G29" s="78" t="s">
        <v>180</v>
      </c>
      <c r="H29" s="32" t="s">
        <v>455</v>
      </c>
      <c r="I29" s="32" t="s">
        <v>481</v>
      </c>
      <c r="J29" s="32" t="s">
        <v>482</v>
      </c>
      <c r="K29" s="81" t="s">
        <v>217</v>
      </c>
      <c r="L29" s="78" t="s">
        <v>221</v>
      </c>
      <c r="M29" s="78" t="s">
        <v>226</v>
      </c>
      <c r="N29" s="83">
        <v>2024</v>
      </c>
      <c r="O29" s="83" t="s">
        <v>182</v>
      </c>
      <c r="P29" s="83"/>
      <c r="Q29" s="78" t="s">
        <v>36</v>
      </c>
    </row>
    <row r="30" spans="1:18" s="37" customFormat="1" ht="31" hidden="1">
      <c r="A30" s="32" t="s">
        <v>81</v>
      </c>
      <c r="B30" s="32" t="s">
        <v>176</v>
      </c>
      <c r="C30" s="33" t="s">
        <v>456</v>
      </c>
      <c r="D30" s="32" t="s">
        <v>13</v>
      </c>
      <c r="E30" s="34" t="s">
        <v>262</v>
      </c>
      <c r="F30" s="32" t="s">
        <v>263</v>
      </c>
      <c r="G30" s="32" t="s">
        <v>264</v>
      </c>
      <c r="H30" s="32" t="s">
        <v>457</v>
      </c>
      <c r="I30" s="32" t="s">
        <v>491</v>
      </c>
      <c r="J30" s="32"/>
      <c r="K30" s="28" t="s">
        <v>265</v>
      </c>
      <c r="L30" s="32" t="s">
        <v>221</v>
      </c>
      <c r="M30" s="32" t="s">
        <v>226</v>
      </c>
      <c r="N30" s="35">
        <v>2024</v>
      </c>
      <c r="O30" s="35" t="s">
        <v>266</v>
      </c>
      <c r="P30" s="38" t="s">
        <v>267</v>
      </c>
      <c r="Q30" s="39" t="s">
        <v>29</v>
      </c>
    </row>
    <row r="31" spans="1:18" s="37" customFormat="1" ht="31" hidden="1">
      <c r="A31" s="32" t="s">
        <v>81</v>
      </c>
      <c r="B31" s="32" t="s">
        <v>176</v>
      </c>
      <c r="C31" s="33" t="s">
        <v>261</v>
      </c>
      <c r="D31" s="32" t="s">
        <v>13</v>
      </c>
      <c r="E31" s="34" t="s">
        <v>268</v>
      </c>
      <c r="F31" s="32" t="s">
        <v>263</v>
      </c>
      <c r="G31" s="32" t="s">
        <v>269</v>
      </c>
      <c r="H31" s="32" t="s">
        <v>457</v>
      </c>
      <c r="I31" s="32" t="s">
        <v>491</v>
      </c>
      <c r="J31" s="32"/>
      <c r="K31" s="28" t="s">
        <v>270</v>
      </c>
      <c r="L31" s="32" t="s">
        <v>271</v>
      </c>
      <c r="M31" s="32" t="s">
        <v>226</v>
      </c>
      <c r="N31" s="35">
        <v>2024</v>
      </c>
      <c r="O31" s="35" t="s">
        <v>266</v>
      </c>
      <c r="P31" s="38" t="s">
        <v>267</v>
      </c>
      <c r="Q31" s="39" t="s">
        <v>29</v>
      </c>
    </row>
    <row r="32" spans="1:18" s="37" customFormat="1" ht="31">
      <c r="A32" s="32" t="s">
        <v>81</v>
      </c>
      <c r="B32" s="32" t="s">
        <v>176</v>
      </c>
      <c r="C32" s="33" t="s">
        <v>272</v>
      </c>
      <c r="D32" s="32" t="s">
        <v>40</v>
      </c>
      <c r="E32" s="34" t="s">
        <v>273</v>
      </c>
      <c r="F32" s="32" t="s">
        <v>288</v>
      </c>
      <c r="G32" s="32" t="s">
        <v>280</v>
      </c>
      <c r="H32" s="32" t="s">
        <v>458</v>
      </c>
      <c r="I32" s="32" t="s">
        <v>484</v>
      </c>
      <c r="J32" s="32"/>
      <c r="K32" s="28" t="s">
        <v>281</v>
      </c>
      <c r="L32" s="32" t="s">
        <v>274</v>
      </c>
      <c r="M32" s="32" t="s">
        <v>275</v>
      </c>
      <c r="N32" s="35">
        <v>2024</v>
      </c>
      <c r="O32" s="35" t="s">
        <v>276</v>
      </c>
      <c r="P32" s="35" t="s">
        <v>277</v>
      </c>
      <c r="Q32" s="35" t="s">
        <v>29</v>
      </c>
    </row>
    <row r="33" spans="1:17" s="37" customFormat="1" ht="31">
      <c r="A33" s="32" t="s">
        <v>81</v>
      </c>
      <c r="B33" s="32" t="s">
        <v>176</v>
      </c>
      <c r="C33" s="33" t="s">
        <v>272</v>
      </c>
      <c r="D33" s="32" t="s">
        <v>40</v>
      </c>
      <c r="E33" s="34" t="s">
        <v>273</v>
      </c>
      <c r="F33" s="32" t="s">
        <v>288</v>
      </c>
      <c r="G33" s="32" t="s">
        <v>280</v>
      </c>
      <c r="H33" s="32" t="s">
        <v>458</v>
      </c>
      <c r="I33" s="32" t="s">
        <v>484</v>
      </c>
      <c r="J33" s="32"/>
      <c r="K33" s="28" t="s">
        <v>281</v>
      </c>
      <c r="L33" s="32" t="s">
        <v>274</v>
      </c>
      <c r="M33" s="32" t="s">
        <v>275</v>
      </c>
      <c r="N33" s="35">
        <v>2024</v>
      </c>
      <c r="O33" s="35" t="s">
        <v>276</v>
      </c>
      <c r="P33" s="35" t="s">
        <v>277</v>
      </c>
      <c r="Q33" s="35" t="s">
        <v>29</v>
      </c>
    </row>
    <row r="34" spans="1:17" s="37" customFormat="1" ht="31">
      <c r="A34" s="32" t="s">
        <v>81</v>
      </c>
      <c r="B34" s="32" t="s">
        <v>176</v>
      </c>
      <c r="C34" s="33" t="s">
        <v>272</v>
      </c>
      <c r="D34" s="32" t="s">
        <v>40</v>
      </c>
      <c r="E34" s="34" t="s">
        <v>273</v>
      </c>
      <c r="F34" s="32" t="s">
        <v>288</v>
      </c>
      <c r="G34" s="32" t="s">
        <v>280</v>
      </c>
      <c r="H34" s="32" t="s">
        <v>458</v>
      </c>
      <c r="I34" s="32" t="s">
        <v>484</v>
      </c>
      <c r="J34" s="32"/>
      <c r="K34" s="28" t="s">
        <v>281</v>
      </c>
      <c r="L34" s="32" t="s">
        <v>274</v>
      </c>
      <c r="M34" s="32" t="s">
        <v>275</v>
      </c>
      <c r="N34" s="35">
        <v>2024</v>
      </c>
      <c r="O34" s="35" t="s">
        <v>276</v>
      </c>
      <c r="P34" s="35" t="s">
        <v>277</v>
      </c>
      <c r="Q34" s="35" t="s">
        <v>29</v>
      </c>
    </row>
    <row r="35" spans="1:17" ht="31" hidden="1">
      <c r="A35" s="32" t="s">
        <v>81</v>
      </c>
      <c r="B35" s="32" t="s">
        <v>176</v>
      </c>
      <c r="C35" s="33" t="s">
        <v>286</v>
      </c>
      <c r="D35" s="32" t="s">
        <v>13</v>
      </c>
      <c r="E35" s="34" t="s">
        <v>273</v>
      </c>
      <c r="F35" s="32" t="s">
        <v>287</v>
      </c>
      <c r="G35" s="32" t="s">
        <v>280</v>
      </c>
      <c r="H35" s="32" t="s">
        <v>457</v>
      </c>
      <c r="I35" s="32" t="s">
        <v>485</v>
      </c>
      <c r="J35" s="32"/>
      <c r="K35" s="28" t="s">
        <v>281</v>
      </c>
      <c r="L35" s="32" t="s">
        <v>271</v>
      </c>
      <c r="M35" s="32" t="s">
        <v>226</v>
      </c>
      <c r="N35" s="35">
        <v>2024</v>
      </c>
      <c r="O35" s="35" t="s">
        <v>276</v>
      </c>
      <c r="P35" s="35" t="s">
        <v>267</v>
      </c>
      <c r="Q35" s="35" t="s">
        <v>29</v>
      </c>
    </row>
    <row r="36" spans="1:17" ht="31" hidden="1">
      <c r="A36" s="32" t="s">
        <v>81</v>
      </c>
      <c r="B36" s="32" t="s">
        <v>176</v>
      </c>
      <c r="C36" s="33" t="s">
        <v>290</v>
      </c>
      <c r="D36" s="32" t="s">
        <v>13</v>
      </c>
      <c r="E36" s="34" t="s">
        <v>291</v>
      </c>
      <c r="F36" s="32" t="s">
        <v>291</v>
      </c>
      <c r="G36" s="32" t="s">
        <v>289</v>
      </c>
      <c r="H36" s="32" t="s">
        <v>457</v>
      </c>
      <c r="I36" s="32" t="s">
        <v>485</v>
      </c>
      <c r="J36" s="32"/>
      <c r="K36" s="28" t="s">
        <v>292</v>
      </c>
      <c r="L36" s="32" t="s">
        <v>271</v>
      </c>
      <c r="M36" s="32" t="s">
        <v>226</v>
      </c>
      <c r="N36" s="35">
        <v>2024</v>
      </c>
      <c r="O36" s="35" t="s">
        <v>293</v>
      </c>
      <c r="P36" s="35" t="s">
        <v>259</v>
      </c>
      <c r="Q36" s="35" t="s">
        <v>29</v>
      </c>
    </row>
    <row r="37" spans="1:17" ht="31">
      <c r="A37" s="32" t="s">
        <v>81</v>
      </c>
      <c r="B37" s="32" t="s">
        <v>176</v>
      </c>
      <c r="C37" s="33" t="s">
        <v>294</v>
      </c>
      <c r="D37" s="32" t="s">
        <v>40</v>
      </c>
      <c r="E37" s="34" t="s">
        <v>291</v>
      </c>
      <c r="F37" s="32" t="s">
        <v>291</v>
      </c>
      <c r="G37" s="32" t="s">
        <v>289</v>
      </c>
      <c r="H37" s="32" t="s">
        <v>457</v>
      </c>
      <c r="I37" s="32" t="s">
        <v>483</v>
      </c>
      <c r="J37" s="32">
        <v>530</v>
      </c>
      <c r="K37" s="28" t="s">
        <v>292</v>
      </c>
      <c r="L37" s="32" t="s">
        <v>271</v>
      </c>
      <c r="M37" s="32" t="s">
        <v>226</v>
      </c>
      <c r="N37" s="35">
        <v>2024</v>
      </c>
      <c r="O37" s="35" t="s">
        <v>293</v>
      </c>
      <c r="P37" s="35" t="s">
        <v>259</v>
      </c>
      <c r="Q37" s="35" t="s">
        <v>29</v>
      </c>
    </row>
    <row r="38" spans="1:17" ht="31" hidden="1">
      <c r="A38" s="32" t="s">
        <v>81</v>
      </c>
      <c r="B38" s="32" t="s">
        <v>176</v>
      </c>
      <c r="C38" s="33" t="s">
        <v>290</v>
      </c>
      <c r="D38" s="32" t="s">
        <v>13</v>
      </c>
      <c r="E38" s="34" t="s">
        <v>291</v>
      </c>
      <c r="F38" s="32" t="s">
        <v>291</v>
      </c>
      <c r="G38" s="32" t="s">
        <v>297</v>
      </c>
      <c r="H38" s="32" t="s">
        <v>457</v>
      </c>
      <c r="I38" s="32" t="s">
        <v>485</v>
      </c>
      <c r="J38" s="32"/>
      <c r="K38" s="28" t="s">
        <v>298</v>
      </c>
      <c r="L38" s="32" t="s">
        <v>271</v>
      </c>
      <c r="M38" s="32" t="s">
        <v>226</v>
      </c>
      <c r="N38" s="35">
        <v>2016</v>
      </c>
      <c r="O38" s="35" t="s">
        <v>28</v>
      </c>
      <c r="P38" s="35" t="s">
        <v>259</v>
      </c>
      <c r="Q38" s="35" t="s">
        <v>29</v>
      </c>
    </row>
  </sheetData>
  <autoFilter ref="A2:R38" xr:uid="{00000000-0009-0000-0000-000001000000}">
    <filterColumn colId="3">
      <filters>
        <filter val="Moissonneuse Batteuse"/>
      </filters>
    </filterColumn>
  </autoFilter>
  <phoneticPr fontId="15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38"/>
  <sheetViews>
    <sheetView view="pageBreakPreview" zoomScale="90" zoomScaleNormal="10" zoomScaleSheetLayoutView="90" workbookViewId="0">
      <pane xSplit="4" ySplit="2" topLeftCell="G16" activePane="bottomRight" state="frozen"/>
      <selection activeCell="H2" sqref="H2:J2"/>
      <selection pane="topRight" activeCell="H2" sqref="H2:J2"/>
      <selection pane="bottomLeft" activeCell="H2" sqref="H2:J2"/>
      <selection pane="bottomRight" activeCell="I16" sqref="I16:J16"/>
    </sheetView>
  </sheetViews>
  <sheetFormatPr baseColWidth="10" defaultColWidth="11.54296875" defaultRowHeight="14.5"/>
  <cols>
    <col min="2" max="2" width="16.6328125" bestFit="1" customWidth="1"/>
    <col min="3" max="3" width="32" bestFit="1" customWidth="1"/>
    <col min="4" max="4" width="23.36328125" customWidth="1"/>
    <col min="5" max="5" width="23.6328125" customWidth="1"/>
    <col min="6" max="6" width="15.453125" customWidth="1"/>
    <col min="7" max="10" width="22" customWidth="1"/>
    <col min="11" max="11" width="13.54296875" customWidth="1"/>
    <col min="12" max="12" width="18.36328125" customWidth="1"/>
    <col min="13" max="13" width="17.36328125" customWidth="1"/>
  </cols>
  <sheetData>
    <row r="1" spans="1:18" ht="15" thickBot="1"/>
    <row r="2" spans="1:18" ht="16" thickBot="1">
      <c r="A2" s="11" t="s">
        <v>0</v>
      </c>
      <c r="B2" s="12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439</v>
      </c>
      <c r="I2" s="13" t="s">
        <v>451</v>
      </c>
      <c r="J2" s="13" t="s">
        <v>452</v>
      </c>
      <c r="K2" s="13" t="s">
        <v>7</v>
      </c>
      <c r="L2" s="13" t="s">
        <v>8</v>
      </c>
      <c r="M2" s="13" t="s">
        <v>197</v>
      </c>
      <c r="N2" s="13" t="s">
        <v>9</v>
      </c>
      <c r="O2" s="13" t="s">
        <v>10</v>
      </c>
      <c r="P2" s="14" t="s">
        <v>251</v>
      </c>
      <c r="Q2" s="14" t="s">
        <v>11</v>
      </c>
    </row>
    <row r="3" spans="1:18" ht="31" hidden="1">
      <c r="A3" s="15" t="s">
        <v>81</v>
      </c>
      <c r="B3" s="16" t="s">
        <v>175</v>
      </c>
      <c r="C3" s="16" t="s">
        <v>467</v>
      </c>
      <c r="D3" s="16" t="s">
        <v>40</v>
      </c>
      <c r="E3" s="16" t="s">
        <v>41</v>
      </c>
      <c r="F3" s="16" t="s">
        <v>15</v>
      </c>
      <c r="G3" s="16" t="s">
        <v>42</v>
      </c>
      <c r="H3" s="16" t="s">
        <v>468</v>
      </c>
      <c r="I3" s="16"/>
      <c r="J3" s="16"/>
      <c r="K3" s="17">
        <v>776594761</v>
      </c>
      <c r="L3" s="16" t="s">
        <v>39</v>
      </c>
      <c r="M3" s="16"/>
      <c r="N3" s="17">
        <v>2019</v>
      </c>
      <c r="O3" s="17" t="s">
        <v>28</v>
      </c>
      <c r="P3" s="17"/>
      <c r="Q3" s="16" t="s">
        <v>29</v>
      </c>
    </row>
    <row r="4" spans="1:18" ht="31" hidden="1">
      <c r="A4" s="15" t="s">
        <v>81</v>
      </c>
      <c r="B4" s="16" t="s">
        <v>175</v>
      </c>
      <c r="C4" s="16" t="s">
        <v>327</v>
      </c>
      <c r="D4" s="16" t="s">
        <v>40</v>
      </c>
      <c r="E4" s="16" t="s">
        <v>89</v>
      </c>
      <c r="F4" s="16" t="s">
        <v>24</v>
      </c>
      <c r="G4" s="16" t="s">
        <v>53</v>
      </c>
      <c r="H4" s="16" t="s">
        <v>468</v>
      </c>
      <c r="I4" s="16"/>
      <c r="J4" s="16"/>
      <c r="K4" s="17">
        <v>782115605</v>
      </c>
      <c r="L4" s="16" t="s">
        <v>55</v>
      </c>
      <c r="M4" s="16" t="s">
        <v>199</v>
      </c>
      <c r="N4" s="17">
        <v>2015</v>
      </c>
      <c r="O4" s="17" t="s">
        <v>90</v>
      </c>
      <c r="P4" s="17"/>
      <c r="Q4" s="16" t="s">
        <v>29</v>
      </c>
    </row>
    <row r="5" spans="1:18" ht="46.5" hidden="1">
      <c r="A5" s="65" t="s">
        <v>81</v>
      </c>
      <c r="B5" s="66" t="s">
        <v>175</v>
      </c>
      <c r="C5" s="66" t="s">
        <v>459</v>
      </c>
      <c r="D5" s="66" t="s">
        <v>40</v>
      </c>
      <c r="E5" s="66" t="s">
        <v>92</v>
      </c>
      <c r="F5" s="66" t="s">
        <v>24</v>
      </c>
      <c r="G5" s="66" t="s">
        <v>179</v>
      </c>
      <c r="H5" s="66" t="s">
        <v>460</v>
      </c>
      <c r="I5" s="66" t="s">
        <v>490</v>
      </c>
      <c r="J5" s="66"/>
      <c r="K5" s="67" t="s">
        <v>93</v>
      </c>
      <c r="L5" s="66" t="s">
        <v>55</v>
      </c>
      <c r="M5" s="66" t="s">
        <v>199</v>
      </c>
      <c r="N5" s="67">
        <v>2016</v>
      </c>
      <c r="O5" s="67" t="s">
        <v>28</v>
      </c>
      <c r="P5" s="67"/>
      <c r="Q5" s="66" t="s">
        <v>29</v>
      </c>
    </row>
    <row r="6" spans="1:18" s="30" customFormat="1" ht="31">
      <c r="A6" s="29" t="s">
        <v>81</v>
      </c>
      <c r="B6" s="26" t="s">
        <v>175</v>
      </c>
      <c r="C6" s="26" t="s">
        <v>34</v>
      </c>
      <c r="D6" s="26" t="s">
        <v>13</v>
      </c>
      <c r="E6" s="26" t="s">
        <v>37</v>
      </c>
      <c r="F6" s="26" t="s">
        <v>15</v>
      </c>
      <c r="G6" s="26" t="s">
        <v>38</v>
      </c>
      <c r="H6" s="26" t="s">
        <v>461</v>
      </c>
      <c r="I6" s="139" t="s">
        <v>487</v>
      </c>
      <c r="J6" s="71" t="s">
        <v>488</v>
      </c>
      <c r="K6" s="27">
        <v>775127979</v>
      </c>
      <c r="L6" s="26" t="s">
        <v>39</v>
      </c>
      <c r="M6" s="26" t="s">
        <v>199</v>
      </c>
      <c r="N6" s="27">
        <v>2018</v>
      </c>
      <c r="O6" s="27" t="s">
        <v>28</v>
      </c>
      <c r="P6" s="27"/>
      <c r="Q6" s="26" t="s">
        <v>29</v>
      </c>
    </row>
    <row r="7" spans="1:18" ht="31" hidden="1">
      <c r="A7" s="15" t="s">
        <v>81</v>
      </c>
      <c r="B7" s="16" t="s">
        <v>175</v>
      </c>
      <c r="C7" s="16" t="s">
        <v>462</v>
      </c>
      <c r="D7" s="16" t="s">
        <v>13</v>
      </c>
      <c r="E7" s="16" t="s">
        <v>52</v>
      </c>
      <c r="F7" s="16" t="s">
        <v>24</v>
      </c>
      <c r="G7" s="16" t="s">
        <v>53</v>
      </c>
      <c r="H7" s="16" t="s">
        <v>464</v>
      </c>
      <c r="I7" s="16" t="s">
        <v>493</v>
      </c>
      <c r="J7" s="16"/>
      <c r="K7" s="17" t="s">
        <v>54</v>
      </c>
      <c r="L7" s="16" t="s">
        <v>55</v>
      </c>
      <c r="M7" s="16" t="s">
        <v>199</v>
      </c>
      <c r="N7" s="17">
        <v>2016</v>
      </c>
      <c r="O7" s="17" t="s">
        <v>28</v>
      </c>
      <c r="P7" s="17"/>
      <c r="Q7" s="16" t="s">
        <v>29</v>
      </c>
    </row>
    <row r="8" spans="1:18" ht="42" hidden="1">
      <c r="A8" s="15" t="s">
        <v>81</v>
      </c>
      <c r="B8" s="16" t="s">
        <v>175</v>
      </c>
      <c r="C8" s="18" t="s">
        <v>56</v>
      </c>
      <c r="D8" s="16" t="s">
        <v>13</v>
      </c>
      <c r="E8" s="16" t="s">
        <v>57</v>
      </c>
      <c r="F8" s="16" t="s">
        <v>15</v>
      </c>
      <c r="G8" s="16" t="s">
        <v>58</v>
      </c>
      <c r="H8" s="16" t="s">
        <v>442</v>
      </c>
      <c r="I8" s="16" t="s">
        <v>489</v>
      </c>
      <c r="J8" s="16"/>
      <c r="K8" s="17" t="s">
        <v>59</v>
      </c>
      <c r="L8" s="16" t="s">
        <v>55</v>
      </c>
      <c r="M8" s="16" t="s">
        <v>199</v>
      </c>
      <c r="N8" s="17">
        <v>2014</v>
      </c>
      <c r="O8" s="17" t="s">
        <v>18</v>
      </c>
      <c r="P8" s="17"/>
      <c r="Q8" s="16" t="s">
        <v>132</v>
      </c>
      <c r="R8" s="42" t="s">
        <v>296</v>
      </c>
    </row>
    <row r="9" spans="1:18" ht="42" hidden="1">
      <c r="A9" s="15" t="s">
        <v>81</v>
      </c>
      <c r="B9" s="16" t="s">
        <v>412</v>
      </c>
      <c r="C9" s="18" t="s">
        <v>56</v>
      </c>
      <c r="D9" s="16" t="s">
        <v>13</v>
      </c>
      <c r="E9" s="16" t="s">
        <v>64</v>
      </c>
      <c r="F9" s="16" t="s">
        <v>15</v>
      </c>
      <c r="G9" s="16" t="s">
        <v>65</v>
      </c>
      <c r="H9" s="16" t="s">
        <v>442</v>
      </c>
      <c r="I9" s="16" t="s">
        <v>489</v>
      </c>
      <c r="J9" s="16"/>
      <c r="K9" s="17" t="s">
        <v>66</v>
      </c>
      <c r="L9" s="16" t="s">
        <v>55</v>
      </c>
      <c r="M9" s="16" t="s">
        <v>199</v>
      </c>
      <c r="N9" s="17">
        <v>2014</v>
      </c>
      <c r="O9" s="17" t="s">
        <v>18</v>
      </c>
      <c r="P9" s="17"/>
      <c r="Q9" s="16" t="s">
        <v>132</v>
      </c>
      <c r="R9" s="42" t="s">
        <v>295</v>
      </c>
    </row>
    <row r="10" spans="1:18" ht="31" hidden="1">
      <c r="A10" s="15" t="s">
        <v>81</v>
      </c>
      <c r="B10" s="16" t="s">
        <v>175</v>
      </c>
      <c r="C10" s="16" t="s">
        <v>22</v>
      </c>
      <c r="D10" s="16" t="s">
        <v>13</v>
      </c>
      <c r="E10" s="16" t="s">
        <v>67</v>
      </c>
      <c r="F10" s="16" t="s">
        <v>15</v>
      </c>
      <c r="G10" s="16" t="s">
        <v>68</v>
      </c>
      <c r="H10" s="16" t="s">
        <v>464</v>
      </c>
      <c r="I10" s="16" t="s">
        <v>493</v>
      </c>
      <c r="J10" s="16"/>
      <c r="K10" s="17" t="s">
        <v>69</v>
      </c>
      <c r="L10" s="16" t="s">
        <v>55</v>
      </c>
      <c r="M10" s="16" t="s">
        <v>199</v>
      </c>
      <c r="N10" s="17">
        <v>2015</v>
      </c>
      <c r="O10" s="17" t="s">
        <v>28</v>
      </c>
      <c r="P10" s="17"/>
      <c r="Q10" s="16" t="s">
        <v>29</v>
      </c>
    </row>
    <row r="11" spans="1:18" ht="31" hidden="1">
      <c r="A11" s="15" t="s">
        <v>81</v>
      </c>
      <c r="B11" s="16" t="s">
        <v>175</v>
      </c>
      <c r="C11" s="16" t="s">
        <v>303</v>
      </c>
      <c r="D11" s="16" t="s">
        <v>13</v>
      </c>
      <c r="E11" s="16" t="s">
        <v>67</v>
      </c>
      <c r="F11" s="16" t="s">
        <v>15</v>
      </c>
      <c r="G11" s="16" t="s">
        <v>300</v>
      </c>
      <c r="H11" s="16" t="s">
        <v>463</v>
      </c>
      <c r="I11" s="16"/>
      <c r="J11" s="16"/>
      <c r="K11" s="17" t="s">
        <v>301</v>
      </c>
      <c r="L11" s="16" t="s">
        <v>55</v>
      </c>
      <c r="M11" s="16" t="s">
        <v>199</v>
      </c>
      <c r="N11" s="17">
        <v>2024</v>
      </c>
      <c r="O11" s="17" t="s">
        <v>267</v>
      </c>
      <c r="P11" s="17"/>
      <c r="Q11" s="16" t="s">
        <v>29</v>
      </c>
    </row>
    <row r="12" spans="1:18" ht="31" hidden="1">
      <c r="A12" s="15" t="s">
        <v>81</v>
      </c>
      <c r="B12" s="16" t="s">
        <v>175</v>
      </c>
      <c r="C12" s="16" t="s">
        <v>22</v>
      </c>
      <c r="D12" s="16" t="s">
        <v>13</v>
      </c>
      <c r="E12" s="16" t="s">
        <v>70</v>
      </c>
      <c r="F12" s="16" t="s">
        <v>15</v>
      </c>
      <c r="G12" s="16" t="s">
        <v>71</v>
      </c>
      <c r="H12" s="16" t="s">
        <v>464</v>
      </c>
      <c r="I12" s="16" t="s">
        <v>493</v>
      </c>
      <c r="J12" s="16"/>
      <c r="K12" s="17" t="s">
        <v>72</v>
      </c>
      <c r="L12" s="16" t="s">
        <v>73</v>
      </c>
      <c r="M12" s="16" t="s">
        <v>199</v>
      </c>
      <c r="N12" s="17">
        <v>2015</v>
      </c>
      <c r="O12" s="17" t="s">
        <v>28</v>
      </c>
      <c r="P12" s="17"/>
      <c r="Q12" s="16" t="s">
        <v>29</v>
      </c>
    </row>
    <row r="13" spans="1:18" ht="31" hidden="1">
      <c r="A13" s="15" t="s">
        <v>81</v>
      </c>
      <c r="B13" s="16" t="s">
        <v>175</v>
      </c>
      <c r="C13" s="16" t="s">
        <v>22</v>
      </c>
      <c r="D13" s="16" t="s">
        <v>13</v>
      </c>
      <c r="E13" s="16" t="s">
        <v>74</v>
      </c>
      <c r="F13" s="16" t="s">
        <v>24</v>
      </c>
      <c r="G13" s="16" t="s">
        <v>75</v>
      </c>
      <c r="H13" s="16" t="s">
        <v>464</v>
      </c>
      <c r="I13" s="16" t="s">
        <v>493</v>
      </c>
      <c r="J13" s="16"/>
      <c r="K13" s="17" t="s">
        <v>76</v>
      </c>
      <c r="L13" s="16" t="s">
        <v>55</v>
      </c>
      <c r="M13" s="16" t="s">
        <v>199</v>
      </c>
      <c r="N13" s="17">
        <v>2015</v>
      </c>
      <c r="O13" s="17" t="s">
        <v>28</v>
      </c>
      <c r="P13" s="17"/>
      <c r="Q13" s="16" t="s">
        <v>29</v>
      </c>
    </row>
    <row r="14" spans="1:18" ht="31" hidden="1">
      <c r="A14" s="15" t="s">
        <v>81</v>
      </c>
      <c r="B14" s="16" t="s">
        <v>175</v>
      </c>
      <c r="C14" s="16" t="s">
        <v>77</v>
      </c>
      <c r="D14" s="16" t="s">
        <v>13</v>
      </c>
      <c r="E14" s="16" t="s">
        <v>78</v>
      </c>
      <c r="F14" s="16" t="s">
        <v>15</v>
      </c>
      <c r="G14" s="16" t="s">
        <v>79</v>
      </c>
      <c r="H14" s="16" t="s">
        <v>464</v>
      </c>
      <c r="I14" s="16" t="s">
        <v>493</v>
      </c>
      <c r="J14" s="16"/>
      <c r="K14" s="17" t="s">
        <v>80</v>
      </c>
      <c r="L14" s="16" t="s">
        <v>81</v>
      </c>
      <c r="M14" s="16" t="s">
        <v>199</v>
      </c>
      <c r="N14" s="17">
        <v>2016</v>
      </c>
      <c r="O14" s="17" t="s">
        <v>28</v>
      </c>
      <c r="P14" s="17"/>
      <c r="Q14" s="16" t="s">
        <v>29</v>
      </c>
    </row>
    <row r="15" spans="1:18" ht="31" hidden="1">
      <c r="A15" s="15" t="s">
        <v>81</v>
      </c>
      <c r="B15" s="16" t="s">
        <v>175</v>
      </c>
      <c r="C15" s="16" t="s">
        <v>77</v>
      </c>
      <c r="D15" s="16" t="s">
        <v>13</v>
      </c>
      <c r="E15" s="16" t="s">
        <v>52</v>
      </c>
      <c r="F15" s="16" t="s">
        <v>24</v>
      </c>
      <c r="G15" s="16" t="s">
        <v>53</v>
      </c>
      <c r="H15" s="16" t="s">
        <v>464</v>
      </c>
      <c r="I15" s="16" t="s">
        <v>493</v>
      </c>
      <c r="J15" s="16"/>
      <c r="K15" s="17" t="s">
        <v>54</v>
      </c>
      <c r="L15" s="16" t="s">
        <v>55</v>
      </c>
      <c r="M15" s="16" t="s">
        <v>199</v>
      </c>
      <c r="N15" s="17">
        <v>2016</v>
      </c>
      <c r="O15" s="17" t="s">
        <v>28</v>
      </c>
      <c r="P15" s="17"/>
      <c r="Q15" s="16" t="s">
        <v>29</v>
      </c>
    </row>
    <row r="16" spans="1:18" s="30" customFormat="1" ht="31">
      <c r="A16" s="29" t="s">
        <v>81</v>
      </c>
      <c r="B16" s="26" t="s">
        <v>175</v>
      </c>
      <c r="C16" s="26" t="s">
        <v>34</v>
      </c>
      <c r="D16" s="26" t="s">
        <v>13</v>
      </c>
      <c r="E16" s="26" t="s">
        <v>82</v>
      </c>
      <c r="F16" s="26" t="s">
        <v>15</v>
      </c>
      <c r="G16" s="26" t="s">
        <v>83</v>
      </c>
      <c r="H16" s="26" t="s">
        <v>461</v>
      </c>
      <c r="I16" s="139" t="s">
        <v>487</v>
      </c>
      <c r="J16" s="71" t="s">
        <v>488</v>
      </c>
      <c r="K16" s="27" t="s">
        <v>238</v>
      </c>
      <c r="L16" s="26" t="s">
        <v>55</v>
      </c>
      <c r="M16" s="26" t="s">
        <v>199</v>
      </c>
      <c r="N16" s="27">
        <v>2018</v>
      </c>
      <c r="O16" s="27" t="s">
        <v>28</v>
      </c>
      <c r="P16" s="27"/>
      <c r="Q16" s="26" t="s">
        <v>29</v>
      </c>
    </row>
    <row r="17" spans="1:18" s="30" customFormat="1" ht="31">
      <c r="A17" s="29" t="s">
        <v>81</v>
      </c>
      <c r="B17" s="26" t="s">
        <v>175</v>
      </c>
      <c r="C17" s="26" t="s">
        <v>34</v>
      </c>
      <c r="D17" s="26" t="s">
        <v>13</v>
      </c>
      <c r="E17" s="26" t="s">
        <v>84</v>
      </c>
      <c r="F17" s="26" t="s">
        <v>24</v>
      </c>
      <c r="G17" s="26" t="s">
        <v>85</v>
      </c>
      <c r="H17" s="26" t="s">
        <v>461</v>
      </c>
      <c r="I17" s="139" t="s">
        <v>487</v>
      </c>
      <c r="J17" s="71" t="s">
        <v>488</v>
      </c>
      <c r="K17" s="27" t="s">
        <v>239</v>
      </c>
      <c r="L17" s="26" t="s">
        <v>55</v>
      </c>
      <c r="M17" s="26" t="s">
        <v>199</v>
      </c>
      <c r="N17" s="27">
        <v>2018</v>
      </c>
      <c r="O17" s="27" t="s">
        <v>28</v>
      </c>
      <c r="P17" s="27"/>
      <c r="Q17" s="26" t="s">
        <v>29</v>
      </c>
    </row>
    <row r="18" spans="1:18" ht="31" hidden="1">
      <c r="A18" s="15" t="s">
        <v>81</v>
      </c>
      <c r="B18" s="16" t="s">
        <v>175</v>
      </c>
      <c r="C18" s="16" t="s">
        <v>22</v>
      </c>
      <c r="D18" s="16" t="s">
        <v>13</v>
      </c>
      <c r="E18" s="16" t="s">
        <v>86</v>
      </c>
      <c r="F18" s="16" t="s">
        <v>24</v>
      </c>
      <c r="G18" s="16" t="s">
        <v>87</v>
      </c>
      <c r="H18" s="16" t="s">
        <v>464</v>
      </c>
      <c r="I18" s="16" t="s">
        <v>493</v>
      </c>
      <c r="J18" s="16"/>
      <c r="K18" s="17" t="s">
        <v>88</v>
      </c>
      <c r="L18" s="16" t="s">
        <v>73</v>
      </c>
      <c r="M18" s="16" t="s">
        <v>199</v>
      </c>
      <c r="N18" s="17">
        <v>2016</v>
      </c>
      <c r="O18" s="17" t="s">
        <v>28</v>
      </c>
      <c r="P18" s="17"/>
      <c r="Q18" s="16" t="s">
        <v>29</v>
      </c>
    </row>
    <row r="19" spans="1:18" ht="31" hidden="1">
      <c r="A19" s="15" t="s">
        <v>81</v>
      </c>
      <c r="B19" s="16" t="s">
        <v>175</v>
      </c>
      <c r="C19" s="16" t="s">
        <v>22</v>
      </c>
      <c r="D19" s="16" t="s">
        <v>13</v>
      </c>
      <c r="E19" s="16" t="s">
        <v>94</v>
      </c>
      <c r="F19" s="16" t="s">
        <v>15</v>
      </c>
      <c r="G19" s="16" t="s">
        <v>79</v>
      </c>
      <c r="H19" s="16" t="s">
        <v>464</v>
      </c>
      <c r="I19" s="16" t="s">
        <v>493</v>
      </c>
      <c r="J19" s="16"/>
      <c r="K19" s="17" t="s">
        <v>80</v>
      </c>
      <c r="L19" s="16" t="s">
        <v>81</v>
      </c>
      <c r="M19" s="16" t="s">
        <v>199</v>
      </c>
      <c r="N19" s="17">
        <v>2015</v>
      </c>
      <c r="O19" s="17" t="s">
        <v>28</v>
      </c>
      <c r="P19" s="17"/>
      <c r="Q19" s="16" t="s">
        <v>29</v>
      </c>
    </row>
    <row r="20" spans="1:18" ht="31" hidden="1">
      <c r="A20" s="15" t="s">
        <v>81</v>
      </c>
      <c r="B20" s="16" t="s">
        <v>175</v>
      </c>
      <c r="C20" s="16" t="s">
        <v>22</v>
      </c>
      <c r="D20" s="16" t="s">
        <v>13</v>
      </c>
      <c r="E20" s="16" t="s">
        <v>95</v>
      </c>
      <c r="F20" s="16" t="s">
        <v>15</v>
      </c>
      <c r="G20" s="16" t="s">
        <v>96</v>
      </c>
      <c r="H20" s="16" t="s">
        <v>464</v>
      </c>
      <c r="I20" s="16" t="s">
        <v>493</v>
      </c>
      <c r="J20" s="16"/>
      <c r="K20" s="17" t="s">
        <v>97</v>
      </c>
      <c r="L20" s="16" t="s">
        <v>55</v>
      </c>
      <c r="M20" s="16" t="s">
        <v>199</v>
      </c>
      <c r="N20" s="17">
        <v>2016</v>
      </c>
      <c r="O20" s="17" t="s">
        <v>28</v>
      </c>
      <c r="P20" s="17"/>
      <c r="Q20" s="16" t="s">
        <v>29</v>
      </c>
    </row>
    <row r="21" spans="1:18" ht="31" hidden="1">
      <c r="A21" s="15" t="s">
        <v>81</v>
      </c>
      <c r="B21" s="16" t="s">
        <v>175</v>
      </c>
      <c r="C21" s="16" t="s">
        <v>22</v>
      </c>
      <c r="D21" s="16" t="s">
        <v>13</v>
      </c>
      <c r="E21" s="16" t="s">
        <v>109</v>
      </c>
      <c r="F21" s="16" t="s">
        <v>15</v>
      </c>
      <c r="G21" s="16" t="s">
        <v>110</v>
      </c>
      <c r="H21" s="16" t="s">
        <v>464</v>
      </c>
      <c r="I21" s="16" t="s">
        <v>493</v>
      </c>
      <c r="J21" s="16"/>
      <c r="K21" s="17" t="s">
        <v>111</v>
      </c>
      <c r="L21" s="16" t="s">
        <v>112</v>
      </c>
      <c r="M21" s="16" t="s">
        <v>199</v>
      </c>
      <c r="N21" s="17">
        <v>2016</v>
      </c>
      <c r="O21" s="17" t="s">
        <v>28</v>
      </c>
      <c r="P21" s="17"/>
      <c r="Q21" s="16" t="s">
        <v>29</v>
      </c>
    </row>
    <row r="22" spans="1:18" ht="31" hidden="1">
      <c r="A22" s="15" t="s">
        <v>81</v>
      </c>
      <c r="B22" s="16" t="s">
        <v>175</v>
      </c>
      <c r="C22" s="16" t="s">
        <v>22</v>
      </c>
      <c r="D22" s="16" t="s">
        <v>13</v>
      </c>
      <c r="E22" s="16" t="s">
        <v>113</v>
      </c>
      <c r="F22" s="16" t="s">
        <v>24</v>
      </c>
      <c r="G22" s="16" t="s">
        <v>114</v>
      </c>
      <c r="H22" s="16" t="s">
        <v>464</v>
      </c>
      <c r="I22" s="16" t="s">
        <v>493</v>
      </c>
      <c r="J22" s="16"/>
      <c r="K22" s="17" t="s">
        <v>115</v>
      </c>
      <c r="L22" s="16" t="s">
        <v>112</v>
      </c>
      <c r="M22" s="16" t="s">
        <v>199</v>
      </c>
      <c r="N22" s="17">
        <v>2016</v>
      </c>
      <c r="O22" s="17" t="s">
        <v>28</v>
      </c>
      <c r="P22" s="17"/>
      <c r="Q22" s="16" t="s">
        <v>29</v>
      </c>
    </row>
    <row r="23" spans="1:18" ht="46.5" hidden="1">
      <c r="A23" s="15" t="s">
        <v>81</v>
      </c>
      <c r="B23" s="16" t="s">
        <v>175</v>
      </c>
      <c r="C23" s="16" t="s">
        <v>22</v>
      </c>
      <c r="D23" s="16" t="s">
        <v>13</v>
      </c>
      <c r="E23" s="16" t="s">
        <v>119</v>
      </c>
      <c r="F23" s="16" t="s">
        <v>24</v>
      </c>
      <c r="G23" s="16" t="s">
        <v>120</v>
      </c>
      <c r="H23" s="16" t="s">
        <v>464</v>
      </c>
      <c r="I23" s="16" t="s">
        <v>493</v>
      </c>
      <c r="J23" s="16"/>
      <c r="K23" s="17" t="s">
        <v>121</v>
      </c>
      <c r="L23" s="16" t="s">
        <v>122</v>
      </c>
      <c r="M23" s="16" t="s">
        <v>199</v>
      </c>
      <c r="N23" s="17">
        <v>2016</v>
      </c>
      <c r="O23" s="17" t="s">
        <v>28</v>
      </c>
      <c r="P23" s="17"/>
      <c r="Q23" s="16" t="s">
        <v>29</v>
      </c>
    </row>
    <row r="24" spans="1:18" ht="46.5">
      <c r="A24" s="15" t="s">
        <v>81</v>
      </c>
      <c r="B24" s="16" t="s">
        <v>175</v>
      </c>
      <c r="C24" s="16" t="s">
        <v>34</v>
      </c>
      <c r="D24" s="16" t="s">
        <v>13</v>
      </c>
      <c r="E24" s="16" t="s">
        <v>123</v>
      </c>
      <c r="F24" s="16" t="s">
        <v>24</v>
      </c>
      <c r="G24" s="16" t="s">
        <v>124</v>
      </c>
      <c r="H24" s="26" t="s">
        <v>461</v>
      </c>
      <c r="I24" s="139" t="s">
        <v>487</v>
      </c>
      <c r="J24" s="71" t="s">
        <v>488</v>
      </c>
      <c r="K24" s="17" t="s">
        <v>240</v>
      </c>
      <c r="L24" s="16" t="s">
        <v>112</v>
      </c>
      <c r="M24" s="16" t="s">
        <v>199</v>
      </c>
      <c r="N24" s="17">
        <v>2018</v>
      </c>
      <c r="O24" s="17" t="s">
        <v>28</v>
      </c>
      <c r="P24" s="17"/>
      <c r="Q24" s="16" t="s">
        <v>29</v>
      </c>
    </row>
    <row r="25" spans="1:18" ht="31">
      <c r="A25" s="15" t="s">
        <v>81</v>
      </c>
      <c r="B25" s="16" t="s">
        <v>175</v>
      </c>
      <c r="C25" s="16" t="s">
        <v>34</v>
      </c>
      <c r="D25" s="16" t="s">
        <v>13</v>
      </c>
      <c r="E25" s="16" t="s">
        <v>125</v>
      </c>
      <c r="F25" s="16" t="s">
        <v>24</v>
      </c>
      <c r="G25" s="16" t="s">
        <v>126</v>
      </c>
      <c r="H25" s="26" t="s">
        <v>461</v>
      </c>
      <c r="I25" s="139" t="s">
        <v>487</v>
      </c>
      <c r="J25" s="71" t="s">
        <v>488</v>
      </c>
      <c r="K25" s="19" t="s">
        <v>241</v>
      </c>
      <c r="L25" s="16" t="s">
        <v>122</v>
      </c>
      <c r="M25" s="16" t="s">
        <v>199</v>
      </c>
      <c r="N25" s="17">
        <v>2019</v>
      </c>
      <c r="O25" s="17" t="s">
        <v>28</v>
      </c>
      <c r="P25" s="17"/>
      <c r="Q25" s="16" t="s">
        <v>29</v>
      </c>
    </row>
    <row r="26" spans="1:18" ht="31" hidden="1">
      <c r="A26" s="15" t="s">
        <v>81</v>
      </c>
      <c r="B26" s="16" t="s">
        <v>176</v>
      </c>
      <c r="C26" s="16" t="s">
        <v>22</v>
      </c>
      <c r="D26" s="16" t="s">
        <v>13</v>
      </c>
      <c r="E26" s="16" t="s">
        <v>163</v>
      </c>
      <c r="F26" s="16" t="s">
        <v>15</v>
      </c>
      <c r="G26" s="16" t="s">
        <v>164</v>
      </c>
      <c r="H26" s="16" t="s">
        <v>464</v>
      </c>
      <c r="I26" s="16" t="s">
        <v>493</v>
      </c>
      <c r="J26" s="16"/>
      <c r="K26" s="17" t="s">
        <v>165</v>
      </c>
      <c r="L26" s="16" t="s">
        <v>55</v>
      </c>
      <c r="M26" s="16" t="s">
        <v>176</v>
      </c>
      <c r="N26" s="17">
        <v>2016</v>
      </c>
      <c r="O26" s="17" t="s">
        <v>28</v>
      </c>
      <c r="P26" s="17"/>
      <c r="Q26" s="16" t="s">
        <v>29</v>
      </c>
    </row>
    <row r="27" spans="1:18" ht="31" hidden="1">
      <c r="A27" s="22" t="s">
        <v>81</v>
      </c>
      <c r="B27" s="20" t="s">
        <v>176</v>
      </c>
      <c r="C27" s="20" t="s">
        <v>22</v>
      </c>
      <c r="D27" s="23" t="s">
        <v>299</v>
      </c>
      <c r="E27" s="24" t="s">
        <v>168</v>
      </c>
      <c r="F27" s="24" t="s">
        <v>24</v>
      </c>
      <c r="G27" s="24" t="s">
        <v>169</v>
      </c>
      <c r="H27" s="16" t="s">
        <v>464</v>
      </c>
      <c r="I27" s="16" t="s">
        <v>493</v>
      </c>
      <c r="J27" s="24"/>
      <c r="K27" s="25" t="s">
        <v>170</v>
      </c>
      <c r="L27" s="24" t="s">
        <v>55</v>
      </c>
      <c r="M27" s="16" t="s">
        <v>199</v>
      </c>
      <c r="N27" s="25">
        <v>2016</v>
      </c>
      <c r="O27" s="25" t="s">
        <v>28</v>
      </c>
      <c r="P27" s="25"/>
      <c r="Q27" s="24" t="s">
        <v>29</v>
      </c>
    </row>
    <row r="28" spans="1:18" s="37" customFormat="1" ht="46.5">
      <c r="A28" s="32" t="s">
        <v>81</v>
      </c>
      <c r="B28" s="32" t="s">
        <v>175</v>
      </c>
      <c r="C28" s="33" t="s">
        <v>192</v>
      </c>
      <c r="D28" s="32" t="s">
        <v>13</v>
      </c>
      <c r="E28" s="34" t="s">
        <v>206</v>
      </c>
      <c r="F28" s="32" t="s">
        <v>15</v>
      </c>
      <c r="G28" s="32" t="s">
        <v>320</v>
      </c>
      <c r="H28" s="26" t="s">
        <v>461</v>
      </c>
      <c r="I28" s="139" t="s">
        <v>487</v>
      </c>
      <c r="J28" s="71" t="s">
        <v>488</v>
      </c>
      <c r="K28" s="35" t="s">
        <v>302</v>
      </c>
      <c r="L28" s="32" t="s">
        <v>219</v>
      </c>
      <c r="M28" s="32" t="s">
        <v>199</v>
      </c>
      <c r="N28" s="35">
        <v>2024</v>
      </c>
      <c r="O28" s="35" t="s">
        <v>182</v>
      </c>
      <c r="P28" s="35" t="s">
        <v>259</v>
      </c>
      <c r="Q28" s="32" t="s">
        <v>29</v>
      </c>
      <c r="R28" s="37" t="s">
        <v>278</v>
      </c>
    </row>
    <row r="29" spans="1:18" s="37" customFormat="1" ht="31">
      <c r="A29" s="29" t="s">
        <v>81</v>
      </c>
      <c r="B29" s="26" t="s">
        <v>175</v>
      </c>
      <c r="C29" s="26" t="s">
        <v>317</v>
      </c>
      <c r="D29" s="68" t="s">
        <v>299</v>
      </c>
      <c r="E29" s="68" t="s">
        <v>291</v>
      </c>
      <c r="F29" s="68" t="s">
        <v>24</v>
      </c>
      <c r="G29" s="68" t="s">
        <v>179</v>
      </c>
      <c r="H29" s="26" t="s">
        <v>461</v>
      </c>
      <c r="I29" s="139" t="s">
        <v>487</v>
      </c>
      <c r="J29" s="71" t="s">
        <v>488</v>
      </c>
      <c r="K29" s="69" t="s">
        <v>93</v>
      </c>
      <c r="L29" s="26" t="s">
        <v>55</v>
      </c>
      <c r="M29" s="26" t="s">
        <v>199</v>
      </c>
      <c r="N29" s="27">
        <v>2024</v>
      </c>
      <c r="O29" s="27" t="s">
        <v>182</v>
      </c>
      <c r="P29" s="27" t="s">
        <v>259</v>
      </c>
      <c r="Q29" s="26" t="s">
        <v>29</v>
      </c>
    </row>
    <row r="30" spans="1:18" s="37" customFormat="1" ht="31">
      <c r="A30" s="29" t="s">
        <v>81</v>
      </c>
      <c r="B30" s="26" t="s">
        <v>412</v>
      </c>
      <c r="C30" s="70" t="s">
        <v>317</v>
      </c>
      <c r="D30" s="71" t="s">
        <v>13</v>
      </c>
      <c r="E30" s="71" t="s">
        <v>321</v>
      </c>
      <c r="F30" s="71" t="s">
        <v>322</v>
      </c>
      <c r="G30" s="71" t="s">
        <v>323</v>
      </c>
      <c r="H30" s="26" t="s">
        <v>461</v>
      </c>
      <c r="I30" s="139" t="s">
        <v>487</v>
      </c>
      <c r="J30" s="71" t="s">
        <v>488</v>
      </c>
      <c r="K30" s="72" t="s">
        <v>324</v>
      </c>
      <c r="L30" s="73" t="s">
        <v>55</v>
      </c>
      <c r="M30" s="26" t="s">
        <v>199</v>
      </c>
      <c r="N30" s="74">
        <v>2024</v>
      </c>
      <c r="O30" s="27" t="s">
        <v>182</v>
      </c>
      <c r="P30" s="27" t="s">
        <v>259</v>
      </c>
      <c r="Q30" s="26" t="s">
        <v>29</v>
      </c>
    </row>
    <row r="31" spans="1:18" s="37" customFormat="1" ht="33.75" customHeight="1">
      <c r="A31" s="6" t="s">
        <v>81</v>
      </c>
      <c r="B31" s="6" t="s">
        <v>175</v>
      </c>
      <c r="C31" s="7" t="s">
        <v>191</v>
      </c>
      <c r="D31" s="6" t="s">
        <v>13</v>
      </c>
      <c r="E31" s="6" t="s">
        <v>184</v>
      </c>
      <c r="F31" s="6" t="s">
        <v>24</v>
      </c>
      <c r="G31" s="6" t="s">
        <v>185</v>
      </c>
      <c r="H31" s="26" t="s">
        <v>461</v>
      </c>
      <c r="I31" s="139" t="s">
        <v>487</v>
      </c>
      <c r="J31" s="71" t="s">
        <v>488</v>
      </c>
      <c r="K31" s="8" t="s">
        <v>183</v>
      </c>
      <c r="L31" s="6" t="s">
        <v>181</v>
      </c>
      <c r="M31" s="6" t="s">
        <v>199</v>
      </c>
      <c r="N31" s="8">
        <v>2024</v>
      </c>
      <c r="O31" s="8" t="s">
        <v>182</v>
      </c>
      <c r="P31" s="8"/>
      <c r="Q31" s="6" t="s">
        <v>36</v>
      </c>
    </row>
    <row r="32" spans="1:18" s="37" customFormat="1" ht="31" hidden="1">
      <c r="A32" s="32" t="s">
        <v>81</v>
      </c>
      <c r="B32" s="32" t="s">
        <v>175</v>
      </c>
      <c r="C32" s="33" t="s">
        <v>465</v>
      </c>
      <c r="D32" s="32" t="s">
        <v>40</v>
      </c>
      <c r="E32" s="34" t="s">
        <v>64</v>
      </c>
      <c r="F32" s="32" t="s">
        <v>15</v>
      </c>
      <c r="G32" s="32" t="s">
        <v>325</v>
      </c>
      <c r="H32" s="32" t="s">
        <v>454</v>
      </c>
      <c r="I32" s="32"/>
      <c r="J32" s="32"/>
      <c r="K32" s="28" t="s">
        <v>216</v>
      </c>
      <c r="L32" s="32" t="s">
        <v>219</v>
      </c>
      <c r="M32" s="32" t="s">
        <v>199</v>
      </c>
      <c r="N32" s="35">
        <v>2024</v>
      </c>
      <c r="O32" s="35" t="s">
        <v>182</v>
      </c>
      <c r="P32" s="35" t="s">
        <v>259</v>
      </c>
      <c r="Q32" s="32" t="s">
        <v>260</v>
      </c>
    </row>
    <row r="33" spans="1:17" s="37" customFormat="1" ht="31" hidden="1">
      <c r="A33" s="32" t="s">
        <v>81</v>
      </c>
      <c r="B33" s="32" t="s">
        <v>175</v>
      </c>
      <c r="C33" s="33" t="s">
        <v>203</v>
      </c>
      <c r="D33" s="32" t="s">
        <v>40</v>
      </c>
      <c r="E33" s="34" t="s">
        <v>211</v>
      </c>
      <c r="F33" s="32" t="s">
        <v>15</v>
      </c>
      <c r="G33" s="32" t="s">
        <v>228</v>
      </c>
      <c r="H33" s="32" t="s">
        <v>454</v>
      </c>
      <c r="I33" s="32"/>
      <c r="J33" s="32"/>
      <c r="K33" s="28" t="s">
        <v>232</v>
      </c>
      <c r="L33" s="32" t="s">
        <v>220</v>
      </c>
      <c r="M33" s="32" t="s">
        <v>199</v>
      </c>
      <c r="N33" s="35">
        <v>2024</v>
      </c>
      <c r="O33" s="35" t="s">
        <v>182</v>
      </c>
      <c r="P33" s="35" t="s">
        <v>259</v>
      </c>
      <c r="Q33" s="32" t="s">
        <v>312</v>
      </c>
    </row>
    <row r="34" spans="1:17" ht="31" hidden="1">
      <c r="A34" s="6" t="s">
        <v>81</v>
      </c>
      <c r="B34" s="6" t="s">
        <v>175</v>
      </c>
      <c r="C34" s="7" t="s">
        <v>203</v>
      </c>
      <c r="D34" s="6" t="s">
        <v>40</v>
      </c>
      <c r="E34" s="9" t="s">
        <v>213</v>
      </c>
      <c r="F34" s="6" t="s">
        <v>15</v>
      </c>
      <c r="G34" s="6" t="s">
        <v>229</v>
      </c>
      <c r="H34" s="32" t="s">
        <v>454</v>
      </c>
      <c r="I34" s="32"/>
      <c r="J34" s="6"/>
      <c r="K34" s="10" t="s">
        <v>231</v>
      </c>
      <c r="L34" s="6" t="s">
        <v>222</v>
      </c>
      <c r="M34" s="6" t="s">
        <v>199</v>
      </c>
      <c r="N34" s="8">
        <v>2024</v>
      </c>
      <c r="O34" s="8" t="s">
        <v>182</v>
      </c>
      <c r="P34" s="8"/>
      <c r="Q34" s="6" t="s">
        <v>36</v>
      </c>
    </row>
    <row r="35" spans="1:17" s="37" customFormat="1" ht="31" hidden="1">
      <c r="A35" s="32" t="s">
        <v>81</v>
      </c>
      <c r="B35" s="32" t="s">
        <v>175</v>
      </c>
      <c r="C35" s="33" t="s">
        <v>203</v>
      </c>
      <c r="D35" s="32" t="s">
        <v>40</v>
      </c>
      <c r="E35" s="34" t="s">
        <v>214</v>
      </c>
      <c r="F35" s="32" t="s">
        <v>15</v>
      </c>
      <c r="G35" s="32" t="s">
        <v>230</v>
      </c>
      <c r="H35" s="32" t="s">
        <v>454</v>
      </c>
      <c r="I35" s="32"/>
      <c r="J35" s="32"/>
      <c r="K35" s="28" t="s">
        <v>59</v>
      </c>
      <c r="L35" s="32" t="s">
        <v>223</v>
      </c>
      <c r="M35" s="32" t="s">
        <v>199</v>
      </c>
      <c r="N35" s="35">
        <v>2024</v>
      </c>
      <c r="O35" s="35" t="s">
        <v>182</v>
      </c>
      <c r="P35" s="35" t="s">
        <v>259</v>
      </c>
      <c r="Q35" s="32" t="s">
        <v>312</v>
      </c>
    </row>
    <row r="36" spans="1:17" ht="15.5" hidden="1">
      <c r="A36" s="32" t="s">
        <v>81</v>
      </c>
      <c r="B36" s="32" t="s">
        <v>175</v>
      </c>
      <c r="C36" s="33" t="s">
        <v>316</v>
      </c>
      <c r="D36" s="33" t="s">
        <v>13</v>
      </c>
      <c r="E36" s="33" t="s">
        <v>304</v>
      </c>
      <c r="F36" s="33" t="s">
        <v>15</v>
      </c>
      <c r="G36" s="33" t="s">
        <v>305</v>
      </c>
      <c r="H36" s="66" t="s">
        <v>460</v>
      </c>
      <c r="I36" s="109" t="s">
        <v>494</v>
      </c>
      <c r="J36" s="33"/>
      <c r="K36" s="33" t="s">
        <v>306</v>
      </c>
      <c r="L36" s="33" t="s">
        <v>313</v>
      </c>
      <c r="M36" s="33" t="s">
        <v>199</v>
      </c>
      <c r="N36" s="56">
        <v>2024</v>
      </c>
      <c r="O36" s="56" t="s">
        <v>267</v>
      </c>
      <c r="P36" s="40"/>
      <c r="Q36" s="33" t="s">
        <v>29</v>
      </c>
    </row>
    <row r="37" spans="1:17" ht="15.5">
      <c r="A37" s="32" t="s">
        <v>81</v>
      </c>
      <c r="B37" s="32" t="s">
        <v>174</v>
      </c>
      <c r="C37" s="33" t="s">
        <v>307</v>
      </c>
      <c r="D37" s="32" t="s">
        <v>13</v>
      </c>
      <c r="E37" s="34" t="s">
        <v>291</v>
      </c>
      <c r="F37" s="32" t="s">
        <v>310</v>
      </c>
      <c r="G37" s="32" t="s">
        <v>311</v>
      </c>
      <c r="H37" s="26" t="s">
        <v>461</v>
      </c>
      <c r="I37" s="139" t="s">
        <v>487</v>
      </c>
      <c r="J37" s="71" t="s">
        <v>488</v>
      </c>
      <c r="K37" s="28" t="s">
        <v>314</v>
      </c>
      <c r="L37" s="32" t="s">
        <v>313</v>
      </c>
      <c r="M37" s="33" t="s">
        <v>199</v>
      </c>
      <c r="N37" s="35">
        <v>2025</v>
      </c>
      <c r="O37" s="40"/>
      <c r="P37" s="40"/>
      <c r="Q37" s="32" t="s">
        <v>312</v>
      </c>
    </row>
    <row r="38" spans="1:17" ht="15.5">
      <c r="A38" s="32" t="s">
        <v>81</v>
      </c>
      <c r="B38" s="32" t="s">
        <v>174</v>
      </c>
      <c r="C38" s="33" t="s">
        <v>307</v>
      </c>
      <c r="D38" s="32" t="s">
        <v>13</v>
      </c>
      <c r="E38" s="32" t="s">
        <v>291</v>
      </c>
      <c r="F38" s="32" t="s">
        <v>310</v>
      </c>
      <c r="G38" s="32" t="s">
        <v>309</v>
      </c>
      <c r="H38" s="26" t="s">
        <v>461</v>
      </c>
      <c r="I38" s="139" t="s">
        <v>487</v>
      </c>
      <c r="J38" s="71" t="s">
        <v>488</v>
      </c>
      <c r="K38" s="32" t="s">
        <v>315</v>
      </c>
      <c r="L38" s="33" t="s">
        <v>313</v>
      </c>
      <c r="M38" s="32" t="s">
        <v>199</v>
      </c>
      <c r="N38" s="40"/>
      <c r="O38" s="40"/>
      <c r="P38" s="40"/>
      <c r="Q38" s="32" t="s">
        <v>312</v>
      </c>
    </row>
  </sheetData>
  <autoFilter ref="A2:R38" xr:uid="{00000000-0009-0000-0000-000002000000}">
    <filterColumn colId="3">
      <filters>
        <filter val="Tracteur"/>
      </filters>
    </filterColumn>
    <filterColumn colId="7">
      <filters>
        <filter val="Autre"/>
      </filters>
    </filterColumn>
  </autoFilter>
  <phoneticPr fontId="15"/>
  <pageMargins left="0.7" right="0.7" top="0.75" bottom="0.75" header="0.3" footer="0.3"/>
  <pageSetup paperSize="9" scale="62" orientation="portrait" r:id="rId1"/>
  <colBreaks count="1" manualBreakCount="1">
    <brk id="8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21"/>
  <sheetViews>
    <sheetView tabSelected="1" zoomScale="96" zoomScaleNormal="96" workbookViewId="0">
      <pane xSplit="4" ySplit="2" topLeftCell="F3" activePane="bottomRight" state="frozen"/>
      <selection activeCell="H2" sqref="H2:J2"/>
      <selection pane="topRight" activeCell="H2" sqref="H2:J2"/>
      <selection pane="bottomLeft" activeCell="H2" sqref="H2:J2"/>
      <selection pane="bottomRight" activeCell="F28" sqref="F28"/>
    </sheetView>
  </sheetViews>
  <sheetFormatPr baseColWidth="10" defaultColWidth="11.54296875" defaultRowHeight="14.5"/>
  <cols>
    <col min="2" max="2" width="19.90625" customWidth="1"/>
    <col min="3" max="3" width="29.08984375" customWidth="1"/>
    <col min="4" max="4" width="22.90625" customWidth="1"/>
    <col min="5" max="5" width="23.08984375" customWidth="1"/>
    <col min="6" max="6" width="15.54296875" customWidth="1"/>
    <col min="7" max="10" width="21.08984375" customWidth="1"/>
    <col min="11" max="11" width="13.453125" customWidth="1"/>
    <col min="12" max="12" width="21.54296875" customWidth="1"/>
  </cols>
  <sheetData>
    <row r="1" spans="1:18" ht="15" thickBot="1"/>
    <row r="2" spans="1:18" ht="16" thickBot="1">
      <c r="A2" s="11" t="s">
        <v>0</v>
      </c>
      <c r="B2" s="12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439</v>
      </c>
      <c r="I2" s="13" t="s">
        <v>451</v>
      </c>
      <c r="J2" s="13" t="s">
        <v>452</v>
      </c>
      <c r="K2" s="13" t="s">
        <v>7</v>
      </c>
      <c r="L2" s="13" t="s">
        <v>8</v>
      </c>
      <c r="M2" s="13" t="s">
        <v>197</v>
      </c>
      <c r="N2" s="13" t="s">
        <v>9</v>
      </c>
      <c r="O2" s="13" t="s">
        <v>10</v>
      </c>
      <c r="P2" s="14" t="s">
        <v>251</v>
      </c>
      <c r="Q2" s="14" t="s">
        <v>11</v>
      </c>
    </row>
    <row r="3" spans="1:18" ht="31" hidden="1">
      <c r="A3" s="15" t="s">
        <v>81</v>
      </c>
      <c r="B3" s="16" t="s">
        <v>174</v>
      </c>
      <c r="C3" s="16" t="s">
        <v>459</v>
      </c>
      <c r="D3" s="16" t="s">
        <v>40</v>
      </c>
      <c r="E3" s="16" t="s">
        <v>50</v>
      </c>
      <c r="F3" s="16" t="s">
        <v>15</v>
      </c>
      <c r="G3" s="16" t="s">
        <v>177</v>
      </c>
      <c r="H3" s="16" t="s">
        <v>460</v>
      </c>
      <c r="I3" s="16" t="s">
        <v>476</v>
      </c>
      <c r="J3" s="16"/>
      <c r="K3" s="17">
        <v>775567586</v>
      </c>
      <c r="L3" s="16" t="s">
        <v>236</v>
      </c>
      <c r="M3" s="16" t="s">
        <v>200</v>
      </c>
      <c r="N3" s="17">
        <v>2021</v>
      </c>
      <c r="O3" s="17" t="s">
        <v>117</v>
      </c>
      <c r="P3" s="17" t="s">
        <v>259</v>
      </c>
      <c r="Q3" s="16" t="s">
        <v>260</v>
      </c>
    </row>
    <row r="4" spans="1:18" ht="31" hidden="1">
      <c r="A4" s="15" t="s">
        <v>81</v>
      </c>
      <c r="B4" s="16" t="s">
        <v>174</v>
      </c>
      <c r="C4" s="16" t="s">
        <v>326</v>
      </c>
      <c r="D4" s="16" t="s">
        <v>40</v>
      </c>
      <c r="E4" s="16" t="s">
        <v>116</v>
      </c>
      <c r="F4" s="16" t="s">
        <v>117</v>
      </c>
      <c r="G4" s="16" t="s">
        <v>118</v>
      </c>
      <c r="H4" s="16" t="s">
        <v>460</v>
      </c>
      <c r="I4" s="16" t="s">
        <v>476</v>
      </c>
      <c r="J4" s="16"/>
      <c r="K4" s="17">
        <v>775715290</v>
      </c>
      <c r="L4" s="16" t="s">
        <v>235</v>
      </c>
      <c r="M4" s="16" t="s">
        <v>200</v>
      </c>
      <c r="N4" s="17">
        <v>2019</v>
      </c>
      <c r="O4" s="17" t="s">
        <v>28</v>
      </c>
      <c r="P4" s="17"/>
      <c r="Q4" s="16" t="s">
        <v>29</v>
      </c>
    </row>
    <row r="5" spans="1:18" ht="46.5">
      <c r="A5" s="15" t="s">
        <v>81</v>
      </c>
      <c r="B5" s="16" t="s">
        <v>174</v>
      </c>
      <c r="C5" s="16" t="s">
        <v>469</v>
      </c>
      <c r="D5" s="16" t="s">
        <v>13</v>
      </c>
      <c r="E5" s="16" t="s">
        <v>14</v>
      </c>
      <c r="F5" s="16" t="s">
        <v>15</v>
      </c>
      <c r="G5" s="16" t="s">
        <v>16</v>
      </c>
      <c r="H5" s="16" t="s">
        <v>468</v>
      </c>
      <c r="I5" s="16" t="s">
        <v>495</v>
      </c>
      <c r="J5" s="16"/>
      <c r="K5" s="17">
        <v>775472784</v>
      </c>
      <c r="L5" s="16" t="s">
        <v>17</v>
      </c>
      <c r="M5" s="16" t="s">
        <v>200</v>
      </c>
      <c r="N5" s="17">
        <v>2014</v>
      </c>
      <c r="O5" s="17" t="s">
        <v>18</v>
      </c>
      <c r="P5" s="17"/>
      <c r="Q5" s="16" t="s">
        <v>132</v>
      </c>
    </row>
    <row r="6" spans="1:18" ht="31">
      <c r="A6" s="15" t="s">
        <v>81</v>
      </c>
      <c r="B6" s="16" t="s">
        <v>174</v>
      </c>
      <c r="C6" s="16" t="s">
        <v>22</v>
      </c>
      <c r="D6" s="16" t="s">
        <v>13</v>
      </c>
      <c r="E6" s="16" t="s">
        <v>23</v>
      </c>
      <c r="F6" s="16" t="s">
        <v>24</v>
      </c>
      <c r="G6" s="16" t="s">
        <v>25</v>
      </c>
      <c r="H6" s="16" t="s">
        <v>464</v>
      </c>
      <c r="I6" s="16" t="s">
        <v>493</v>
      </c>
      <c r="J6" s="16"/>
      <c r="K6" s="17" t="s">
        <v>26</v>
      </c>
      <c r="L6" s="16" t="s">
        <v>27</v>
      </c>
      <c r="M6" s="16" t="s">
        <v>200</v>
      </c>
      <c r="N6" s="17">
        <v>2016</v>
      </c>
      <c r="O6" s="17" t="s">
        <v>28</v>
      </c>
      <c r="P6" s="17"/>
      <c r="Q6" s="16" t="s">
        <v>29</v>
      </c>
    </row>
    <row r="7" spans="1:18" ht="31">
      <c r="A7" s="15" t="s">
        <v>81</v>
      </c>
      <c r="B7" s="16" t="s">
        <v>174</v>
      </c>
      <c r="C7" s="16" t="s">
        <v>22</v>
      </c>
      <c r="D7" s="16" t="s">
        <v>13</v>
      </c>
      <c r="E7" s="16" t="s">
        <v>30</v>
      </c>
      <c r="F7" s="16" t="s">
        <v>15</v>
      </c>
      <c r="G7" s="16" t="s">
        <v>31</v>
      </c>
      <c r="H7" s="16" t="s">
        <v>464</v>
      </c>
      <c r="I7" s="16" t="s">
        <v>493</v>
      </c>
      <c r="J7" s="16"/>
      <c r="K7" s="17" t="s">
        <v>32</v>
      </c>
      <c r="L7" s="16" t="s">
        <v>33</v>
      </c>
      <c r="M7" s="16" t="s">
        <v>200</v>
      </c>
      <c r="N7" s="17">
        <v>2015</v>
      </c>
      <c r="O7" s="17" t="s">
        <v>28</v>
      </c>
      <c r="P7" s="17"/>
      <c r="Q7" s="16" t="s">
        <v>132</v>
      </c>
    </row>
    <row r="8" spans="1:18" ht="31">
      <c r="A8" s="15" t="s">
        <v>81</v>
      </c>
      <c r="B8" s="16" t="s">
        <v>174</v>
      </c>
      <c r="C8" s="16" t="s">
        <v>22</v>
      </c>
      <c r="D8" s="16" t="s">
        <v>13</v>
      </c>
      <c r="E8" s="16" t="s">
        <v>43</v>
      </c>
      <c r="F8" s="16" t="s">
        <v>15</v>
      </c>
      <c r="G8" s="16" t="s">
        <v>44</v>
      </c>
      <c r="H8" s="16" t="s">
        <v>464</v>
      </c>
      <c r="I8" s="16" t="s">
        <v>493</v>
      </c>
      <c r="J8" s="16"/>
      <c r="K8" s="17" t="s">
        <v>45</v>
      </c>
      <c r="L8" s="16" t="s">
        <v>237</v>
      </c>
      <c r="M8" s="16" t="s">
        <v>200</v>
      </c>
      <c r="N8" s="17">
        <v>2015</v>
      </c>
      <c r="O8" s="17" t="s">
        <v>28</v>
      </c>
      <c r="P8" s="17"/>
      <c r="Q8" s="16" t="s">
        <v>132</v>
      </c>
    </row>
    <row r="9" spans="1:18" ht="31">
      <c r="A9" s="15" t="s">
        <v>81</v>
      </c>
      <c r="B9" s="16" t="s">
        <v>174</v>
      </c>
      <c r="C9" s="16" t="s">
        <v>22</v>
      </c>
      <c r="D9" s="16" t="s">
        <v>13</v>
      </c>
      <c r="E9" s="16" t="s">
        <v>46</v>
      </c>
      <c r="F9" s="16" t="s">
        <v>15</v>
      </c>
      <c r="G9" s="16" t="s">
        <v>47</v>
      </c>
      <c r="H9" s="16" t="s">
        <v>464</v>
      </c>
      <c r="I9" s="16" t="s">
        <v>493</v>
      </c>
      <c r="J9" s="16"/>
      <c r="K9" s="17" t="s">
        <v>48</v>
      </c>
      <c r="L9" s="16" t="s">
        <v>49</v>
      </c>
      <c r="M9" s="16" t="s">
        <v>200</v>
      </c>
      <c r="N9" s="17">
        <v>2016</v>
      </c>
      <c r="O9" s="17" t="s">
        <v>28</v>
      </c>
      <c r="P9" s="17"/>
      <c r="Q9" s="16" t="s">
        <v>29</v>
      </c>
    </row>
    <row r="10" spans="1:18" ht="42">
      <c r="A10" s="15" t="s">
        <v>81</v>
      </c>
      <c r="B10" s="16" t="s">
        <v>174</v>
      </c>
      <c r="C10" s="18" t="s">
        <v>56</v>
      </c>
      <c r="D10" s="16" t="s">
        <v>13</v>
      </c>
      <c r="E10" s="16" t="s">
        <v>98</v>
      </c>
      <c r="F10" s="16" t="s">
        <v>24</v>
      </c>
      <c r="G10" s="16" t="s">
        <v>99</v>
      </c>
      <c r="H10" s="16" t="s">
        <v>468</v>
      </c>
      <c r="I10" s="16" t="s">
        <v>489</v>
      </c>
      <c r="J10" s="16"/>
      <c r="K10" s="17">
        <v>776465896</v>
      </c>
      <c r="L10" s="16" t="s">
        <v>100</v>
      </c>
      <c r="M10" s="16" t="s">
        <v>200</v>
      </c>
      <c r="N10" s="17">
        <v>2014</v>
      </c>
      <c r="O10" s="17" t="s">
        <v>18</v>
      </c>
      <c r="P10" s="17"/>
      <c r="Q10" s="16" t="s">
        <v>132</v>
      </c>
    </row>
    <row r="11" spans="1:18" ht="42">
      <c r="A11" s="15" t="s">
        <v>81</v>
      </c>
      <c r="B11" s="16" t="s">
        <v>174</v>
      </c>
      <c r="C11" s="18" t="s">
        <v>56</v>
      </c>
      <c r="D11" s="16" t="s">
        <v>13</v>
      </c>
      <c r="E11" s="16" t="s">
        <v>101</v>
      </c>
      <c r="F11" s="16" t="s">
        <v>15</v>
      </c>
      <c r="G11" s="16" t="s">
        <v>102</v>
      </c>
      <c r="H11" s="16" t="s">
        <v>468</v>
      </c>
      <c r="I11" s="16" t="s">
        <v>489</v>
      </c>
      <c r="J11" s="16"/>
      <c r="K11" s="17" t="s">
        <v>103</v>
      </c>
      <c r="L11" s="16" t="s">
        <v>104</v>
      </c>
      <c r="M11" s="16" t="s">
        <v>200</v>
      </c>
      <c r="N11" s="17">
        <v>2014</v>
      </c>
      <c r="O11" s="17" t="s">
        <v>18</v>
      </c>
      <c r="P11" s="17"/>
      <c r="Q11" s="16" t="s">
        <v>132</v>
      </c>
    </row>
    <row r="12" spans="1:18" s="30" customFormat="1" ht="46.5">
      <c r="A12" s="29" t="s">
        <v>81</v>
      </c>
      <c r="B12" s="26" t="s">
        <v>174</v>
      </c>
      <c r="C12" s="26" t="s">
        <v>178</v>
      </c>
      <c r="D12" s="26" t="s">
        <v>13</v>
      </c>
      <c r="E12" s="26" t="s">
        <v>105</v>
      </c>
      <c r="F12" s="26" t="s">
        <v>15</v>
      </c>
      <c r="G12" s="26" t="s">
        <v>106</v>
      </c>
      <c r="H12" s="139" t="s">
        <v>487</v>
      </c>
      <c r="I12" s="71" t="s">
        <v>488</v>
      </c>
      <c r="J12" s="26"/>
      <c r="K12" s="27">
        <v>775399560</v>
      </c>
      <c r="L12" s="26" t="s">
        <v>235</v>
      </c>
      <c r="M12" s="26" t="s">
        <v>200</v>
      </c>
      <c r="N12" s="27">
        <v>2018</v>
      </c>
      <c r="O12" s="27" t="s">
        <v>28</v>
      </c>
      <c r="P12" s="27"/>
      <c r="Q12" s="26" t="s">
        <v>51</v>
      </c>
    </row>
    <row r="13" spans="1:18" s="30" customFormat="1" ht="31">
      <c r="A13" s="29" t="s">
        <v>81</v>
      </c>
      <c r="B13" s="26" t="s">
        <v>174</v>
      </c>
      <c r="C13" s="26" t="s">
        <v>34</v>
      </c>
      <c r="D13" s="26" t="s">
        <v>13</v>
      </c>
      <c r="E13" s="26" t="s">
        <v>107</v>
      </c>
      <c r="F13" s="26" t="s">
        <v>15</v>
      </c>
      <c r="G13" s="26" t="s">
        <v>108</v>
      </c>
      <c r="H13" s="139" t="s">
        <v>487</v>
      </c>
      <c r="I13" s="71" t="s">
        <v>488</v>
      </c>
      <c r="J13" s="26"/>
      <c r="K13" s="27">
        <v>775624283</v>
      </c>
      <c r="L13" s="26" t="s">
        <v>235</v>
      </c>
      <c r="M13" s="26" t="s">
        <v>200</v>
      </c>
      <c r="N13" s="27">
        <v>2018</v>
      </c>
      <c r="O13" s="27" t="s">
        <v>28</v>
      </c>
      <c r="P13" s="27"/>
      <c r="Q13" s="26" t="s">
        <v>19</v>
      </c>
    </row>
    <row r="14" spans="1:18" s="37" customFormat="1" ht="46.5">
      <c r="A14" s="32" t="s">
        <v>81</v>
      </c>
      <c r="B14" s="32" t="s">
        <v>174</v>
      </c>
      <c r="C14" s="33" t="s">
        <v>191</v>
      </c>
      <c r="D14" s="32" t="s">
        <v>13</v>
      </c>
      <c r="E14" s="32" t="s">
        <v>189</v>
      </c>
      <c r="F14" s="32" t="s">
        <v>24</v>
      </c>
      <c r="G14" s="63" t="s">
        <v>188</v>
      </c>
      <c r="H14" s="139" t="s">
        <v>487</v>
      </c>
      <c r="I14" s="71" t="s">
        <v>488</v>
      </c>
      <c r="J14" s="63"/>
      <c r="K14" s="28" t="s">
        <v>186</v>
      </c>
      <c r="L14" s="64" t="s">
        <v>187</v>
      </c>
      <c r="M14" s="64" t="s">
        <v>200</v>
      </c>
      <c r="N14" s="35">
        <v>2024</v>
      </c>
      <c r="O14" s="35" t="s">
        <v>182</v>
      </c>
      <c r="P14" s="35" t="s">
        <v>259</v>
      </c>
      <c r="Q14" s="32" t="s">
        <v>260</v>
      </c>
    </row>
    <row r="15" spans="1:18" ht="46.5">
      <c r="A15" s="6" t="s">
        <v>81</v>
      </c>
      <c r="B15" s="6" t="s">
        <v>174</v>
      </c>
      <c r="C15" s="7" t="s">
        <v>192</v>
      </c>
      <c r="D15" s="6" t="s">
        <v>13</v>
      </c>
      <c r="E15" s="9" t="s">
        <v>195</v>
      </c>
      <c r="F15" s="6" t="s">
        <v>15</v>
      </c>
      <c r="G15" s="6"/>
      <c r="H15" s="139" t="s">
        <v>487</v>
      </c>
      <c r="I15" s="71" t="s">
        <v>488</v>
      </c>
      <c r="J15" s="6"/>
      <c r="K15" s="10" t="s">
        <v>196</v>
      </c>
      <c r="L15" s="6" t="s">
        <v>234</v>
      </c>
      <c r="M15" s="6" t="s">
        <v>198</v>
      </c>
      <c r="N15" s="8">
        <v>2024</v>
      </c>
      <c r="O15" s="8" t="s">
        <v>182</v>
      </c>
      <c r="P15" s="8"/>
      <c r="Q15" s="6" t="s">
        <v>36</v>
      </c>
    </row>
    <row r="16" spans="1:18" s="37" customFormat="1" ht="46.5">
      <c r="A16" s="32" t="s">
        <v>81</v>
      </c>
      <c r="B16" s="32" t="s">
        <v>174</v>
      </c>
      <c r="C16" s="33" t="s">
        <v>192</v>
      </c>
      <c r="D16" s="32" t="s">
        <v>13</v>
      </c>
      <c r="E16" s="34" t="s">
        <v>207</v>
      </c>
      <c r="F16" s="32" t="s">
        <v>466</v>
      </c>
      <c r="G16" s="32" t="s">
        <v>177</v>
      </c>
      <c r="H16" s="139" t="s">
        <v>487</v>
      </c>
      <c r="I16" s="71" t="s">
        <v>488</v>
      </c>
      <c r="J16" s="32"/>
      <c r="K16" s="28" t="s">
        <v>208</v>
      </c>
      <c r="L16" s="32" t="s">
        <v>209</v>
      </c>
      <c r="M16" s="32" t="s">
        <v>200</v>
      </c>
      <c r="N16" s="35">
        <v>2024</v>
      </c>
      <c r="O16" s="35" t="s">
        <v>182</v>
      </c>
      <c r="P16" s="35" t="s">
        <v>259</v>
      </c>
      <c r="Q16" s="32" t="s">
        <v>260</v>
      </c>
      <c r="R16" s="37" t="s">
        <v>278</v>
      </c>
    </row>
    <row r="17" spans="1:18" s="37" customFormat="1" ht="31" hidden="1">
      <c r="A17" s="32" t="s">
        <v>81</v>
      </c>
      <c r="B17" s="32" t="s">
        <v>174</v>
      </c>
      <c r="C17" s="33" t="s">
        <v>465</v>
      </c>
      <c r="D17" s="32" t="s">
        <v>40</v>
      </c>
      <c r="E17" s="34" t="s">
        <v>207</v>
      </c>
      <c r="F17" s="32" t="s">
        <v>15</v>
      </c>
      <c r="G17" s="32" t="s">
        <v>177</v>
      </c>
      <c r="H17" s="32" t="s">
        <v>470</v>
      </c>
      <c r="I17" s="32" t="s">
        <v>481</v>
      </c>
      <c r="J17" s="32" t="s">
        <v>482</v>
      </c>
      <c r="K17" s="28" t="s">
        <v>208</v>
      </c>
      <c r="L17" s="32" t="s">
        <v>224</v>
      </c>
      <c r="M17" s="32" t="s">
        <v>200</v>
      </c>
      <c r="N17" s="35">
        <v>2024</v>
      </c>
      <c r="O17" s="35" t="s">
        <v>182</v>
      </c>
      <c r="P17" s="35" t="s">
        <v>259</v>
      </c>
      <c r="Q17" s="32" t="s">
        <v>260</v>
      </c>
    </row>
    <row r="18" spans="1:18" s="37" customFormat="1" ht="31">
      <c r="A18" s="32" t="s">
        <v>81</v>
      </c>
      <c r="B18" s="32" t="s">
        <v>174</v>
      </c>
      <c r="C18" s="33" t="s">
        <v>319</v>
      </c>
      <c r="D18" s="32" t="s">
        <v>13</v>
      </c>
      <c r="E18" s="34" t="s">
        <v>252</v>
      </c>
      <c r="F18" s="32" t="s">
        <v>15</v>
      </c>
      <c r="G18" s="32" t="s">
        <v>20</v>
      </c>
      <c r="H18" s="139" t="s">
        <v>487</v>
      </c>
      <c r="I18" s="71" t="s">
        <v>488</v>
      </c>
      <c r="J18" s="32"/>
      <c r="K18" s="28">
        <v>775128501</v>
      </c>
      <c r="L18" s="32" t="s">
        <v>21</v>
      </c>
      <c r="M18" s="32" t="s">
        <v>198</v>
      </c>
      <c r="N18" s="35">
        <v>2024</v>
      </c>
      <c r="O18" s="35" t="s">
        <v>182</v>
      </c>
      <c r="P18" s="35" t="s">
        <v>259</v>
      </c>
      <c r="Q18" s="32" t="s">
        <v>260</v>
      </c>
      <c r="R18" s="37" t="s">
        <v>279</v>
      </c>
    </row>
    <row r="19" spans="1:18" s="37" customFormat="1" ht="15.5">
      <c r="A19" s="32" t="s">
        <v>81</v>
      </c>
      <c r="B19" s="32" t="s">
        <v>174</v>
      </c>
      <c r="D19" s="32" t="s">
        <v>13</v>
      </c>
      <c r="E19" s="34" t="s">
        <v>253</v>
      </c>
      <c r="F19" s="32" t="s">
        <v>15</v>
      </c>
      <c r="G19" s="32" t="s">
        <v>254</v>
      </c>
      <c r="H19" s="139" t="s">
        <v>487</v>
      </c>
      <c r="I19" s="71" t="s">
        <v>488</v>
      </c>
      <c r="J19" s="32"/>
      <c r="K19" s="28">
        <v>774070332</v>
      </c>
      <c r="L19" s="32" t="s">
        <v>237</v>
      </c>
      <c r="M19" s="32" t="s">
        <v>198</v>
      </c>
      <c r="N19" s="35">
        <v>2024</v>
      </c>
      <c r="O19" s="35" t="s">
        <v>182</v>
      </c>
      <c r="P19" s="40" t="s">
        <v>259</v>
      </c>
      <c r="Q19" s="32" t="s">
        <v>260</v>
      </c>
      <c r="R19" s="37" t="s">
        <v>278</v>
      </c>
    </row>
    <row r="20" spans="1:18" s="37" customFormat="1" ht="46.5">
      <c r="A20" s="32" t="s">
        <v>81</v>
      </c>
      <c r="B20" s="32" t="s">
        <v>174</v>
      </c>
      <c r="C20" s="41" t="s">
        <v>192</v>
      </c>
      <c r="D20" s="32" t="s">
        <v>13</v>
      </c>
      <c r="E20" s="34" t="s">
        <v>255</v>
      </c>
      <c r="F20" s="32" t="s">
        <v>15</v>
      </c>
      <c r="G20" s="32" t="s">
        <v>256</v>
      </c>
      <c r="H20" s="139" t="s">
        <v>487</v>
      </c>
      <c r="I20" s="71" t="s">
        <v>488</v>
      </c>
      <c r="J20" s="32"/>
      <c r="K20" s="28">
        <v>775714906</v>
      </c>
      <c r="L20" s="32" t="s">
        <v>257</v>
      </c>
      <c r="M20" s="32" t="s">
        <v>258</v>
      </c>
      <c r="N20" s="35">
        <v>2024</v>
      </c>
      <c r="O20" s="35" t="s">
        <v>182</v>
      </c>
      <c r="P20" s="40" t="s">
        <v>259</v>
      </c>
      <c r="Q20" s="32" t="s">
        <v>260</v>
      </c>
      <c r="R20" s="37" t="s">
        <v>278</v>
      </c>
    </row>
    <row r="21" spans="1:18" s="51" customFormat="1" ht="31">
      <c r="A21" s="45" t="s">
        <v>81</v>
      </c>
      <c r="B21" s="45" t="s">
        <v>174</v>
      </c>
      <c r="C21" s="46" t="s">
        <v>307</v>
      </c>
      <c r="D21" s="45" t="s">
        <v>13</v>
      </c>
      <c r="E21" s="47" t="s">
        <v>35</v>
      </c>
      <c r="F21" s="47" t="s">
        <v>24</v>
      </c>
      <c r="G21" s="47" t="s">
        <v>308</v>
      </c>
      <c r="H21" s="139" t="s">
        <v>487</v>
      </c>
      <c r="I21" s="71" t="s">
        <v>488</v>
      </c>
      <c r="J21" s="47"/>
      <c r="K21" s="48"/>
      <c r="L21" s="47" t="s">
        <v>27</v>
      </c>
      <c r="M21" s="47" t="s">
        <v>200</v>
      </c>
      <c r="N21" s="49">
        <v>2019</v>
      </c>
      <c r="O21" s="49" t="s">
        <v>182</v>
      </c>
      <c r="P21" s="50"/>
      <c r="Q21" s="45" t="s">
        <v>260</v>
      </c>
    </row>
  </sheetData>
  <autoFilter ref="A2:R21" xr:uid="{00000000-0009-0000-0000-000003000000}">
    <filterColumn colId="3">
      <filters>
        <filter val="Tracteur"/>
      </filters>
    </filterColumn>
  </autoFilter>
  <phoneticPr fontId="1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zoomScale="98" zoomScaleNormal="98" workbookViewId="0">
      <pane xSplit="4" ySplit="1" topLeftCell="O57" activePane="bottomRight" state="frozen"/>
      <selection pane="topRight" activeCell="E1" sqref="E1"/>
      <selection pane="bottomLeft" activeCell="A2" sqref="A2"/>
      <selection pane="bottomRight" activeCell="E5" sqref="E5"/>
    </sheetView>
  </sheetViews>
  <sheetFormatPr baseColWidth="10" defaultColWidth="11.453125" defaultRowHeight="15.5"/>
  <cols>
    <col min="1" max="1" width="9.6328125" style="4" customWidth="1"/>
    <col min="2" max="2" width="16.453125" style="1" customWidth="1"/>
    <col min="3" max="3" width="30.90625" style="1" customWidth="1"/>
    <col min="4" max="4" width="21.36328125" style="1" customWidth="1"/>
    <col min="5" max="5" width="22.453125" style="1" customWidth="1"/>
    <col min="6" max="6" width="19.90625" style="1" bestFit="1" customWidth="1"/>
    <col min="7" max="7" width="23.453125" style="1" bestFit="1" customWidth="1"/>
    <col min="8" max="8" width="13.08984375" style="3" customWidth="1"/>
    <col min="9" max="9" width="21.36328125" style="1" customWidth="1"/>
    <col min="10" max="10" width="14.90625" style="1" customWidth="1"/>
    <col min="11" max="11" width="16.453125" style="3" customWidth="1"/>
    <col min="12" max="13" width="13.08984375" style="5" customWidth="1"/>
    <col min="14" max="14" width="13.08984375" style="1" customWidth="1"/>
    <col min="15" max="16384" width="11.453125" style="1"/>
  </cols>
  <sheetData>
    <row r="1" spans="1:15" s="36" customFormat="1" ht="16" thickBot="1">
      <c r="A1" s="59" t="s">
        <v>0</v>
      </c>
      <c r="B1" s="60" t="s">
        <v>408</v>
      </c>
      <c r="C1" s="61" t="s">
        <v>2</v>
      </c>
      <c r="D1" s="61" t="s">
        <v>421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197</v>
      </c>
      <c r="K1" s="61" t="s">
        <v>9</v>
      </c>
      <c r="L1" s="61" t="s">
        <v>10</v>
      </c>
      <c r="M1" s="62" t="s">
        <v>251</v>
      </c>
      <c r="N1" s="62" t="s">
        <v>11</v>
      </c>
    </row>
    <row r="2" spans="1:15" s="2" customFormat="1" ht="31">
      <c r="A2" s="65" t="s">
        <v>81</v>
      </c>
      <c r="B2" s="66" t="s">
        <v>406</v>
      </c>
      <c r="C2" s="66" t="s">
        <v>326</v>
      </c>
      <c r="D2" s="66" t="s">
        <v>335</v>
      </c>
      <c r="E2" s="66" t="s">
        <v>50</v>
      </c>
      <c r="F2" s="66" t="s">
        <v>349</v>
      </c>
      <c r="G2" s="66" t="s">
        <v>177</v>
      </c>
      <c r="H2" s="67">
        <v>775567586</v>
      </c>
      <c r="I2" s="78" t="s">
        <v>423</v>
      </c>
      <c r="J2" s="66" t="s">
        <v>200</v>
      </c>
      <c r="K2" s="67">
        <v>2021</v>
      </c>
      <c r="L2" s="67" t="s">
        <v>117</v>
      </c>
      <c r="M2" s="67" t="s">
        <v>259</v>
      </c>
      <c r="N2" s="66" t="s">
        <v>361</v>
      </c>
      <c r="O2" s="57"/>
    </row>
    <row r="3" spans="1:15" ht="31">
      <c r="A3" s="65" t="s">
        <v>81</v>
      </c>
      <c r="B3" s="66" t="s">
        <v>406</v>
      </c>
      <c r="C3" s="66" t="s">
        <v>22</v>
      </c>
      <c r="D3" s="66" t="s">
        <v>334</v>
      </c>
      <c r="E3" s="66" t="s">
        <v>23</v>
      </c>
      <c r="F3" s="65" t="s">
        <v>348</v>
      </c>
      <c r="G3" s="66" t="s">
        <v>25</v>
      </c>
      <c r="H3" s="67" t="s">
        <v>26</v>
      </c>
      <c r="I3" s="78" t="s">
        <v>423</v>
      </c>
      <c r="J3" s="66" t="s">
        <v>200</v>
      </c>
      <c r="K3" s="67">
        <v>2016</v>
      </c>
      <c r="L3" s="67" t="s">
        <v>28</v>
      </c>
      <c r="M3" s="67"/>
      <c r="N3" s="66" t="s">
        <v>361</v>
      </c>
      <c r="O3" s="57"/>
    </row>
    <row r="4" spans="1:15" ht="31">
      <c r="A4" s="65" t="s">
        <v>81</v>
      </c>
      <c r="B4" s="66" t="s">
        <v>406</v>
      </c>
      <c r="C4" s="66" t="s">
        <v>192</v>
      </c>
      <c r="D4" s="66" t="s">
        <v>334</v>
      </c>
      <c r="E4" s="111" t="s">
        <v>207</v>
      </c>
      <c r="F4" s="65" t="s">
        <v>349</v>
      </c>
      <c r="G4" s="65" t="s">
        <v>177</v>
      </c>
      <c r="H4" s="112" t="s">
        <v>208</v>
      </c>
      <c r="I4" s="78" t="s">
        <v>423</v>
      </c>
      <c r="J4" s="65" t="s">
        <v>200</v>
      </c>
      <c r="K4" s="89">
        <v>2024</v>
      </c>
      <c r="L4" s="89" t="s">
        <v>182</v>
      </c>
      <c r="M4" s="89" t="s">
        <v>259</v>
      </c>
      <c r="N4" s="65" t="s">
        <v>361</v>
      </c>
      <c r="O4" s="57"/>
    </row>
    <row r="5" spans="1:15" ht="31">
      <c r="A5" s="65" t="s">
        <v>81</v>
      </c>
      <c r="B5" s="66" t="s">
        <v>406</v>
      </c>
      <c r="C5" s="66" t="s">
        <v>203</v>
      </c>
      <c r="D5" s="65" t="s">
        <v>335</v>
      </c>
      <c r="E5" s="111" t="s">
        <v>207</v>
      </c>
      <c r="F5" s="78" t="s">
        <v>349</v>
      </c>
      <c r="G5" s="65" t="s">
        <v>177</v>
      </c>
      <c r="H5" s="112" t="s">
        <v>208</v>
      </c>
      <c r="I5" s="78" t="s">
        <v>423</v>
      </c>
      <c r="J5" s="65" t="s">
        <v>200</v>
      </c>
      <c r="K5" s="89">
        <v>2024</v>
      </c>
      <c r="L5" s="89" t="s">
        <v>182</v>
      </c>
      <c r="M5" s="89" t="s">
        <v>259</v>
      </c>
      <c r="N5" s="65" t="s">
        <v>361</v>
      </c>
      <c r="O5" s="57"/>
    </row>
    <row r="6" spans="1:15" ht="31">
      <c r="A6" s="75" t="s">
        <v>81</v>
      </c>
      <c r="B6" s="66" t="s">
        <v>406</v>
      </c>
      <c r="C6" s="76" t="s">
        <v>307</v>
      </c>
      <c r="D6" s="66" t="s">
        <v>334</v>
      </c>
      <c r="E6" s="76" t="s">
        <v>35</v>
      </c>
      <c r="F6" s="65" t="s">
        <v>348</v>
      </c>
      <c r="G6" s="76" t="s">
        <v>308</v>
      </c>
      <c r="H6" s="113"/>
      <c r="I6" s="78" t="s">
        <v>423</v>
      </c>
      <c r="J6" s="76" t="s">
        <v>200</v>
      </c>
      <c r="K6" s="77">
        <v>2019</v>
      </c>
      <c r="L6" s="77" t="s">
        <v>182</v>
      </c>
      <c r="M6" s="116"/>
      <c r="N6" s="75" t="s">
        <v>361</v>
      </c>
      <c r="O6" s="57"/>
    </row>
    <row r="7" spans="1:15" ht="31">
      <c r="A7" s="65" t="s">
        <v>81</v>
      </c>
      <c r="B7" s="66" t="s">
        <v>406</v>
      </c>
      <c r="C7" s="66" t="s">
        <v>22</v>
      </c>
      <c r="D7" s="66" t="s">
        <v>334</v>
      </c>
      <c r="E7" s="66" t="s">
        <v>43</v>
      </c>
      <c r="F7" s="66" t="s">
        <v>349</v>
      </c>
      <c r="G7" s="66" t="s">
        <v>44</v>
      </c>
      <c r="H7" s="67" t="s">
        <v>45</v>
      </c>
      <c r="I7" s="66" t="s">
        <v>398</v>
      </c>
      <c r="J7" s="66" t="s">
        <v>200</v>
      </c>
      <c r="K7" s="67">
        <v>2015</v>
      </c>
      <c r="L7" s="67" t="s">
        <v>28</v>
      </c>
      <c r="M7" s="67"/>
      <c r="N7" s="66" t="s">
        <v>360</v>
      </c>
      <c r="O7" s="57"/>
    </row>
    <row r="8" spans="1:15" ht="31">
      <c r="A8" s="65" t="s">
        <v>81</v>
      </c>
      <c r="B8" s="66" t="s">
        <v>406</v>
      </c>
      <c r="C8" s="66" t="s">
        <v>192</v>
      </c>
      <c r="D8" s="66" t="s">
        <v>334</v>
      </c>
      <c r="E8" s="111" t="s">
        <v>195</v>
      </c>
      <c r="F8" s="65" t="s">
        <v>349</v>
      </c>
      <c r="G8" s="65"/>
      <c r="H8" s="112" t="s">
        <v>196</v>
      </c>
      <c r="I8" s="66" t="s">
        <v>398</v>
      </c>
      <c r="J8" s="65" t="s">
        <v>198</v>
      </c>
      <c r="K8" s="89">
        <v>2024</v>
      </c>
      <c r="L8" s="89" t="s">
        <v>182</v>
      </c>
      <c r="M8" s="89"/>
      <c r="N8" s="66" t="s">
        <v>361</v>
      </c>
      <c r="O8" s="57"/>
    </row>
    <row r="9" spans="1:15" s="31" customFormat="1">
      <c r="A9" s="65" t="s">
        <v>81</v>
      </c>
      <c r="B9" s="66" t="s">
        <v>406</v>
      </c>
      <c r="C9" s="108"/>
      <c r="D9" s="66" t="s">
        <v>334</v>
      </c>
      <c r="E9" s="111" t="s">
        <v>253</v>
      </c>
      <c r="F9" s="78" t="s">
        <v>349</v>
      </c>
      <c r="G9" s="65" t="s">
        <v>254</v>
      </c>
      <c r="H9" s="112">
        <v>774070332</v>
      </c>
      <c r="I9" s="66" t="s">
        <v>398</v>
      </c>
      <c r="J9" s="65" t="s">
        <v>198</v>
      </c>
      <c r="K9" s="89">
        <v>2024</v>
      </c>
      <c r="L9" s="89" t="s">
        <v>182</v>
      </c>
      <c r="M9" s="108" t="s">
        <v>259</v>
      </c>
      <c r="N9" s="65" t="s">
        <v>361</v>
      </c>
      <c r="O9" s="58"/>
    </row>
    <row r="10" spans="1:15" ht="31">
      <c r="A10" s="65" t="s">
        <v>81</v>
      </c>
      <c r="B10" s="66" t="s">
        <v>406</v>
      </c>
      <c r="C10" s="66" t="s">
        <v>192</v>
      </c>
      <c r="D10" s="66" t="s">
        <v>334</v>
      </c>
      <c r="E10" s="111" t="s">
        <v>255</v>
      </c>
      <c r="F10" s="65" t="s">
        <v>349</v>
      </c>
      <c r="G10" s="65" t="s">
        <v>256</v>
      </c>
      <c r="H10" s="112">
        <v>775714906</v>
      </c>
      <c r="I10" s="66" t="s">
        <v>398</v>
      </c>
      <c r="J10" s="65" t="s">
        <v>258</v>
      </c>
      <c r="K10" s="89">
        <v>2024</v>
      </c>
      <c r="L10" s="89" t="s">
        <v>182</v>
      </c>
      <c r="M10" s="108" t="s">
        <v>259</v>
      </c>
      <c r="N10" s="65" t="s">
        <v>361</v>
      </c>
      <c r="O10" s="57"/>
    </row>
    <row r="11" spans="1:15" ht="31">
      <c r="A11" s="65" t="s">
        <v>81</v>
      </c>
      <c r="B11" s="66" t="s">
        <v>406</v>
      </c>
      <c r="C11" s="66" t="s">
        <v>326</v>
      </c>
      <c r="D11" s="66" t="s">
        <v>335</v>
      </c>
      <c r="E11" s="66" t="s">
        <v>116</v>
      </c>
      <c r="F11" s="66" t="s">
        <v>349</v>
      </c>
      <c r="G11" s="66" t="s">
        <v>118</v>
      </c>
      <c r="H11" s="67">
        <v>775715290</v>
      </c>
      <c r="I11" s="66" t="s">
        <v>394</v>
      </c>
      <c r="J11" s="66" t="s">
        <v>200</v>
      </c>
      <c r="K11" s="67">
        <v>2019</v>
      </c>
      <c r="L11" s="67" t="s">
        <v>28</v>
      </c>
      <c r="M11" s="67"/>
      <c r="N11" s="66" t="s">
        <v>361</v>
      </c>
      <c r="O11" s="57"/>
    </row>
    <row r="12" spans="1:15" ht="42">
      <c r="A12" s="65" t="s">
        <v>81</v>
      </c>
      <c r="B12" s="66" t="s">
        <v>406</v>
      </c>
      <c r="C12" s="18" t="s">
        <v>56</v>
      </c>
      <c r="D12" s="66" t="s">
        <v>334</v>
      </c>
      <c r="E12" s="66" t="s">
        <v>101</v>
      </c>
      <c r="F12" s="66" t="s">
        <v>349</v>
      </c>
      <c r="G12" s="66" t="s">
        <v>102</v>
      </c>
      <c r="H12" s="67" t="s">
        <v>103</v>
      </c>
      <c r="I12" s="66" t="s">
        <v>394</v>
      </c>
      <c r="J12" s="66" t="s">
        <v>200</v>
      </c>
      <c r="K12" s="67">
        <v>2014</v>
      </c>
      <c r="L12" s="67" t="s">
        <v>18</v>
      </c>
      <c r="M12" s="67"/>
      <c r="N12" s="79" t="s">
        <v>360</v>
      </c>
      <c r="O12" s="57"/>
    </row>
    <row r="13" spans="1:15" s="36" customFormat="1" ht="46.5">
      <c r="A13" s="86" t="s">
        <v>81</v>
      </c>
      <c r="B13" s="79" t="s">
        <v>406</v>
      </c>
      <c r="C13" s="87" t="s">
        <v>178</v>
      </c>
      <c r="D13" s="66" t="s">
        <v>334</v>
      </c>
      <c r="E13" s="87" t="s">
        <v>105</v>
      </c>
      <c r="F13" s="79" t="s">
        <v>349</v>
      </c>
      <c r="G13" s="87" t="s">
        <v>106</v>
      </c>
      <c r="H13" s="88">
        <v>775399560</v>
      </c>
      <c r="I13" s="66" t="s">
        <v>394</v>
      </c>
      <c r="J13" s="87" t="s">
        <v>200</v>
      </c>
      <c r="K13" s="88">
        <v>2018</v>
      </c>
      <c r="L13" s="88" t="s">
        <v>28</v>
      </c>
      <c r="M13" s="88"/>
      <c r="N13" s="87" t="s">
        <v>360</v>
      </c>
    </row>
    <row r="14" spans="1:15" ht="31">
      <c r="A14" s="86" t="s">
        <v>81</v>
      </c>
      <c r="B14" s="79" t="s">
        <v>406</v>
      </c>
      <c r="C14" s="87" t="s">
        <v>34</v>
      </c>
      <c r="D14" s="66" t="s">
        <v>334</v>
      </c>
      <c r="E14" s="87" t="s">
        <v>107</v>
      </c>
      <c r="F14" s="79" t="s">
        <v>349</v>
      </c>
      <c r="G14" s="87" t="s">
        <v>108</v>
      </c>
      <c r="H14" s="88">
        <v>775624283</v>
      </c>
      <c r="I14" s="66" t="s">
        <v>394</v>
      </c>
      <c r="J14" s="87" t="s">
        <v>200</v>
      </c>
      <c r="K14" s="88">
        <v>2018</v>
      </c>
      <c r="L14" s="88" t="s">
        <v>28</v>
      </c>
      <c r="M14" s="88"/>
      <c r="N14" s="65" t="s">
        <v>361</v>
      </c>
      <c r="O14" s="57"/>
    </row>
    <row r="15" spans="1:15" s="31" customFormat="1" ht="31">
      <c r="A15" s="78" t="s">
        <v>81</v>
      </c>
      <c r="B15" s="79" t="s">
        <v>406</v>
      </c>
      <c r="C15" s="79" t="s">
        <v>191</v>
      </c>
      <c r="D15" s="66" t="s">
        <v>334</v>
      </c>
      <c r="E15" s="78" t="s">
        <v>189</v>
      </c>
      <c r="F15" s="78" t="s">
        <v>348</v>
      </c>
      <c r="G15" s="80" t="s">
        <v>188</v>
      </c>
      <c r="H15" s="81" t="s">
        <v>186</v>
      </c>
      <c r="I15" s="66" t="s">
        <v>394</v>
      </c>
      <c r="J15" s="82" t="s">
        <v>200</v>
      </c>
      <c r="K15" s="83">
        <v>2024</v>
      </c>
      <c r="L15" s="83" t="s">
        <v>182</v>
      </c>
      <c r="M15" s="83" t="s">
        <v>259</v>
      </c>
      <c r="N15" s="78" t="s">
        <v>361</v>
      </c>
      <c r="O15" s="58"/>
    </row>
    <row r="16" spans="1:15" s="31" customFormat="1" ht="31">
      <c r="A16" s="78" t="s">
        <v>81</v>
      </c>
      <c r="B16" s="79" t="s">
        <v>406</v>
      </c>
      <c r="C16" s="79" t="s">
        <v>22</v>
      </c>
      <c r="D16" s="79" t="s">
        <v>334</v>
      </c>
      <c r="E16" s="79" t="s">
        <v>30</v>
      </c>
      <c r="F16" s="79" t="s">
        <v>349</v>
      </c>
      <c r="G16" s="79" t="s">
        <v>31</v>
      </c>
      <c r="H16" s="94" t="s">
        <v>32</v>
      </c>
      <c r="I16" s="79" t="s">
        <v>396</v>
      </c>
      <c r="J16" s="79" t="s">
        <v>200</v>
      </c>
      <c r="K16" s="94">
        <v>2015</v>
      </c>
      <c r="L16" s="94" t="s">
        <v>28</v>
      </c>
      <c r="M16" s="94"/>
      <c r="N16" s="79" t="s">
        <v>360</v>
      </c>
      <c r="O16" s="58"/>
    </row>
    <row r="17" spans="1:15" ht="31">
      <c r="A17" s="78" t="s">
        <v>81</v>
      </c>
      <c r="B17" s="79" t="s">
        <v>406</v>
      </c>
      <c r="C17" s="79" t="s">
        <v>22</v>
      </c>
      <c r="D17" s="66" t="s">
        <v>334</v>
      </c>
      <c r="E17" s="79" t="s">
        <v>46</v>
      </c>
      <c r="F17" s="79" t="s">
        <v>349</v>
      </c>
      <c r="G17" s="79" t="s">
        <v>47</v>
      </c>
      <c r="H17" s="94" t="s">
        <v>48</v>
      </c>
      <c r="I17" s="79" t="s">
        <v>402</v>
      </c>
      <c r="J17" s="79" t="s">
        <v>200</v>
      </c>
      <c r="K17" s="94">
        <v>2016</v>
      </c>
      <c r="L17" s="94" t="s">
        <v>28</v>
      </c>
      <c r="M17" s="94"/>
      <c r="N17" s="79" t="s">
        <v>361</v>
      </c>
      <c r="O17" s="57"/>
    </row>
    <row r="18" spans="1:15" ht="31">
      <c r="A18" s="78" t="s">
        <v>81</v>
      </c>
      <c r="B18" s="66" t="s">
        <v>406</v>
      </c>
      <c r="C18" s="109" t="s">
        <v>319</v>
      </c>
      <c r="D18" s="66" t="s">
        <v>334</v>
      </c>
      <c r="E18" s="84" t="s">
        <v>318</v>
      </c>
      <c r="F18" s="78" t="s">
        <v>349</v>
      </c>
      <c r="G18" s="78" t="s">
        <v>20</v>
      </c>
      <c r="H18" s="81">
        <v>775128501</v>
      </c>
      <c r="I18" s="78" t="s">
        <v>387</v>
      </c>
      <c r="J18" s="78" t="s">
        <v>198</v>
      </c>
      <c r="K18" s="83">
        <v>2024</v>
      </c>
      <c r="L18" s="83" t="s">
        <v>182</v>
      </c>
      <c r="M18" s="83" t="s">
        <v>259</v>
      </c>
      <c r="N18" s="78" t="s">
        <v>361</v>
      </c>
      <c r="O18" s="57"/>
    </row>
    <row r="19" spans="1:15" ht="42">
      <c r="A19" s="78" t="s">
        <v>81</v>
      </c>
      <c r="B19" s="66" t="s">
        <v>406</v>
      </c>
      <c r="C19" s="121" t="s">
        <v>56</v>
      </c>
      <c r="D19" s="66" t="s">
        <v>334</v>
      </c>
      <c r="E19" s="79" t="s">
        <v>98</v>
      </c>
      <c r="F19" s="78" t="s">
        <v>348</v>
      </c>
      <c r="G19" s="79" t="s">
        <v>99</v>
      </c>
      <c r="H19" s="94">
        <v>776465896</v>
      </c>
      <c r="I19" s="79" t="s">
        <v>385</v>
      </c>
      <c r="J19" s="79" t="s">
        <v>200</v>
      </c>
      <c r="K19" s="94">
        <v>2014</v>
      </c>
      <c r="L19" s="94" t="s">
        <v>18</v>
      </c>
      <c r="M19" s="94"/>
      <c r="N19" s="79" t="s">
        <v>360</v>
      </c>
      <c r="O19" s="57"/>
    </row>
    <row r="20" spans="1:15" ht="31">
      <c r="A20" s="78" t="s">
        <v>81</v>
      </c>
      <c r="B20" s="79" t="s">
        <v>174</v>
      </c>
      <c r="C20" s="85" t="s">
        <v>12</v>
      </c>
      <c r="D20" s="66" t="s">
        <v>334</v>
      </c>
      <c r="E20" s="79" t="s">
        <v>14</v>
      </c>
      <c r="F20" s="79" t="s">
        <v>349</v>
      </c>
      <c r="G20" s="79" t="s">
        <v>16</v>
      </c>
      <c r="H20" s="94">
        <v>775472784</v>
      </c>
      <c r="I20" s="79" t="s">
        <v>390</v>
      </c>
      <c r="J20" s="79" t="s">
        <v>200</v>
      </c>
      <c r="K20" s="94">
        <v>2014</v>
      </c>
      <c r="L20" s="94" t="s">
        <v>18</v>
      </c>
      <c r="M20" s="94"/>
      <c r="N20" s="79" t="s">
        <v>360</v>
      </c>
      <c r="O20" s="57"/>
    </row>
    <row r="21" spans="1:15" ht="46.5">
      <c r="A21" s="65" t="s">
        <v>81</v>
      </c>
      <c r="B21" s="66" t="s">
        <v>175</v>
      </c>
      <c r="C21" s="66" t="s">
        <v>22</v>
      </c>
      <c r="D21" s="66" t="s">
        <v>334</v>
      </c>
      <c r="E21" s="66" t="s">
        <v>119</v>
      </c>
      <c r="F21" s="65" t="s">
        <v>348</v>
      </c>
      <c r="G21" s="66" t="s">
        <v>120</v>
      </c>
      <c r="H21" s="67" t="s">
        <v>121</v>
      </c>
      <c r="I21" s="66" t="s">
        <v>405</v>
      </c>
      <c r="J21" s="66" t="s">
        <v>199</v>
      </c>
      <c r="K21" s="67">
        <v>2016</v>
      </c>
      <c r="L21" s="67" t="s">
        <v>28</v>
      </c>
      <c r="M21" s="67"/>
      <c r="N21" s="66" t="s">
        <v>361</v>
      </c>
      <c r="O21"/>
    </row>
    <row r="22" spans="1:15" ht="31">
      <c r="A22" s="65" t="s">
        <v>81</v>
      </c>
      <c r="B22" s="66" t="s">
        <v>175</v>
      </c>
      <c r="C22" s="66" t="s">
        <v>34</v>
      </c>
      <c r="D22" s="66" t="s">
        <v>334</v>
      </c>
      <c r="E22" s="66" t="s">
        <v>125</v>
      </c>
      <c r="F22" s="78" t="s">
        <v>348</v>
      </c>
      <c r="G22" s="66" t="s">
        <v>126</v>
      </c>
      <c r="H22" s="89" t="s">
        <v>241</v>
      </c>
      <c r="I22" s="66" t="s">
        <v>405</v>
      </c>
      <c r="J22" s="66" t="s">
        <v>199</v>
      </c>
      <c r="K22" s="67">
        <v>2019</v>
      </c>
      <c r="L22" s="67" t="s">
        <v>28</v>
      </c>
      <c r="M22" s="67"/>
      <c r="N22" s="66" t="s">
        <v>361</v>
      </c>
      <c r="O22"/>
    </row>
    <row r="23" spans="1:15" ht="31">
      <c r="A23" s="65" t="s">
        <v>81</v>
      </c>
      <c r="B23" s="65" t="s">
        <v>175</v>
      </c>
      <c r="C23" s="66" t="s">
        <v>191</v>
      </c>
      <c r="D23" s="66" t="s">
        <v>334</v>
      </c>
      <c r="E23" s="65" t="s">
        <v>184</v>
      </c>
      <c r="F23" s="78" t="s">
        <v>348</v>
      </c>
      <c r="G23" s="65" t="s">
        <v>185</v>
      </c>
      <c r="H23" s="89" t="s">
        <v>183</v>
      </c>
      <c r="I23" s="66" t="s">
        <v>405</v>
      </c>
      <c r="J23" s="65" t="s">
        <v>199</v>
      </c>
      <c r="K23" s="89">
        <v>2024</v>
      </c>
      <c r="L23" s="89" t="s">
        <v>182</v>
      </c>
      <c r="M23" s="89"/>
      <c r="N23" s="76" t="s">
        <v>361</v>
      </c>
      <c r="O23"/>
    </row>
    <row r="24" spans="1:15" ht="31">
      <c r="A24" s="65" t="s">
        <v>81</v>
      </c>
      <c r="B24" s="66" t="s">
        <v>175</v>
      </c>
      <c r="C24" s="66" t="s">
        <v>307</v>
      </c>
      <c r="D24" s="66" t="s">
        <v>334</v>
      </c>
      <c r="E24" s="111" t="s">
        <v>291</v>
      </c>
      <c r="F24" s="65" t="s">
        <v>348</v>
      </c>
      <c r="G24" s="65" t="s">
        <v>311</v>
      </c>
      <c r="H24" s="112" t="s">
        <v>314</v>
      </c>
      <c r="I24" s="65" t="s">
        <v>403</v>
      </c>
      <c r="J24" s="66" t="s">
        <v>199</v>
      </c>
      <c r="K24" s="89">
        <v>2025</v>
      </c>
      <c r="L24" s="108"/>
      <c r="M24" s="108"/>
      <c r="N24" s="65" t="s">
        <v>361</v>
      </c>
      <c r="O24" s="30"/>
    </row>
    <row r="25" spans="1:15" ht="31">
      <c r="A25" s="65" t="s">
        <v>81</v>
      </c>
      <c r="B25" s="66" t="s">
        <v>175</v>
      </c>
      <c r="C25" s="66" t="s">
        <v>307</v>
      </c>
      <c r="D25" s="66" t="s">
        <v>334</v>
      </c>
      <c r="E25" s="65" t="s">
        <v>291</v>
      </c>
      <c r="F25" s="78" t="s">
        <v>348</v>
      </c>
      <c r="G25" s="65" t="s">
        <v>309</v>
      </c>
      <c r="H25" s="65" t="s">
        <v>315</v>
      </c>
      <c r="I25" s="65" t="s">
        <v>403</v>
      </c>
      <c r="J25" s="65" t="s">
        <v>199</v>
      </c>
      <c r="K25" s="89" t="s">
        <v>382</v>
      </c>
      <c r="L25" s="108"/>
      <c r="M25" s="108"/>
      <c r="N25" s="65" t="s">
        <v>361</v>
      </c>
      <c r="O25"/>
    </row>
    <row r="26" spans="1:15" ht="31">
      <c r="A26" s="65" t="s">
        <v>81</v>
      </c>
      <c r="B26" s="66" t="s">
        <v>175</v>
      </c>
      <c r="C26" s="66" t="s">
        <v>22</v>
      </c>
      <c r="D26" s="66" t="s">
        <v>334</v>
      </c>
      <c r="E26" s="66" t="s">
        <v>109</v>
      </c>
      <c r="F26" s="66" t="s">
        <v>349</v>
      </c>
      <c r="G26" s="66" t="s">
        <v>110</v>
      </c>
      <c r="H26" s="67" t="s">
        <v>111</v>
      </c>
      <c r="I26" s="65" t="s">
        <v>403</v>
      </c>
      <c r="J26" s="66" t="s">
        <v>199</v>
      </c>
      <c r="K26" s="67">
        <v>2016</v>
      </c>
      <c r="L26" s="67" t="s">
        <v>28</v>
      </c>
      <c r="M26" s="67"/>
      <c r="N26" s="66" t="s">
        <v>361</v>
      </c>
      <c r="O26" s="42" t="s">
        <v>296</v>
      </c>
    </row>
    <row r="27" spans="1:15" ht="31">
      <c r="A27" s="65" t="s">
        <v>81</v>
      </c>
      <c r="B27" s="66" t="s">
        <v>175</v>
      </c>
      <c r="C27" s="66" t="s">
        <v>22</v>
      </c>
      <c r="D27" s="66" t="s">
        <v>334</v>
      </c>
      <c r="E27" s="66" t="s">
        <v>113</v>
      </c>
      <c r="F27" s="65" t="s">
        <v>348</v>
      </c>
      <c r="G27" s="66" t="s">
        <v>114</v>
      </c>
      <c r="H27" s="67" t="s">
        <v>115</v>
      </c>
      <c r="I27" s="65" t="s">
        <v>403</v>
      </c>
      <c r="J27" s="66" t="s">
        <v>199</v>
      </c>
      <c r="K27" s="67">
        <v>2016</v>
      </c>
      <c r="L27" s="67" t="s">
        <v>28</v>
      </c>
      <c r="M27" s="67"/>
      <c r="N27" s="66" t="s">
        <v>361</v>
      </c>
      <c r="O27" s="42" t="s">
        <v>295</v>
      </c>
    </row>
    <row r="28" spans="1:15" ht="46.5">
      <c r="A28" s="65" t="s">
        <v>81</v>
      </c>
      <c r="B28" s="66" t="s">
        <v>175</v>
      </c>
      <c r="C28" s="66" t="s">
        <v>34</v>
      </c>
      <c r="D28" s="66" t="s">
        <v>334</v>
      </c>
      <c r="E28" s="66" t="s">
        <v>123</v>
      </c>
      <c r="F28" s="65" t="s">
        <v>348</v>
      </c>
      <c r="G28" s="66" t="s">
        <v>124</v>
      </c>
      <c r="H28" s="67" t="s">
        <v>240</v>
      </c>
      <c r="I28" s="65" t="s">
        <v>403</v>
      </c>
      <c r="J28" s="66" t="s">
        <v>199</v>
      </c>
      <c r="K28" s="67">
        <v>2018</v>
      </c>
      <c r="L28" s="67" t="s">
        <v>28</v>
      </c>
      <c r="M28" s="67"/>
      <c r="N28" s="66" t="s">
        <v>361</v>
      </c>
      <c r="O28"/>
    </row>
    <row r="29" spans="1:15" ht="31">
      <c r="A29" s="65" t="s">
        <v>81</v>
      </c>
      <c r="B29" s="65" t="s">
        <v>175</v>
      </c>
      <c r="C29" s="66" t="s">
        <v>316</v>
      </c>
      <c r="D29" s="66" t="s">
        <v>334</v>
      </c>
      <c r="E29" s="66" t="s">
        <v>304</v>
      </c>
      <c r="F29" s="66" t="s">
        <v>15</v>
      </c>
      <c r="G29" s="66" t="s">
        <v>305</v>
      </c>
      <c r="H29" s="66" t="s">
        <v>306</v>
      </c>
      <c r="I29" s="65" t="s">
        <v>403</v>
      </c>
      <c r="J29" s="66" t="s">
        <v>199</v>
      </c>
      <c r="K29" s="67">
        <v>2024</v>
      </c>
      <c r="L29" s="67" t="s">
        <v>267</v>
      </c>
      <c r="M29" s="108"/>
      <c r="N29" s="66" t="s">
        <v>361</v>
      </c>
      <c r="O29"/>
    </row>
    <row r="30" spans="1:15" ht="31">
      <c r="A30" s="65" t="s">
        <v>81</v>
      </c>
      <c r="B30" s="65" t="s">
        <v>175</v>
      </c>
      <c r="C30" s="66" t="s">
        <v>203</v>
      </c>
      <c r="D30" s="65" t="s">
        <v>335</v>
      </c>
      <c r="E30" s="111" t="s">
        <v>213</v>
      </c>
      <c r="F30" s="65" t="s">
        <v>15</v>
      </c>
      <c r="G30" s="65" t="s">
        <v>229</v>
      </c>
      <c r="H30" s="112" t="s">
        <v>231</v>
      </c>
      <c r="I30" s="65" t="s">
        <v>424</v>
      </c>
      <c r="J30" s="65" t="s">
        <v>199</v>
      </c>
      <c r="K30" s="89">
        <v>2024</v>
      </c>
      <c r="L30" s="89" t="s">
        <v>182</v>
      </c>
      <c r="M30" s="89"/>
      <c r="N30" s="66" t="s">
        <v>361</v>
      </c>
      <c r="O30"/>
    </row>
    <row r="31" spans="1:15" ht="31">
      <c r="A31" s="65" t="s">
        <v>81</v>
      </c>
      <c r="B31" s="66" t="s">
        <v>175</v>
      </c>
      <c r="C31" s="66" t="s">
        <v>327</v>
      </c>
      <c r="D31" s="66" t="s">
        <v>335</v>
      </c>
      <c r="E31" s="66" t="s">
        <v>89</v>
      </c>
      <c r="F31" s="78" t="s">
        <v>348</v>
      </c>
      <c r="G31" s="66" t="s">
        <v>53</v>
      </c>
      <c r="H31" s="67">
        <v>782115605</v>
      </c>
      <c r="I31" s="65" t="s">
        <v>424</v>
      </c>
      <c r="J31" s="66" t="s">
        <v>199</v>
      </c>
      <c r="K31" s="67">
        <v>2015</v>
      </c>
      <c r="L31" s="67" t="s">
        <v>90</v>
      </c>
      <c r="M31" s="67"/>
      <c r="N31" s="66" t="s">
        <v>361</v>
      </c>
      <c r="O31"/>
    </row>
    <row r="32" spans="1:15" ht="46.5">
      <c r="A32" s="65" t="s">
        <v>81</v>
      </c>
      <c r="B32" s="66" t="s">
        <v>175</v>
      </c>
      <c r="C32" s="66" t="s">
        <v>91</v>
      </c>
      <c r="D32" s="66" t="s">
        <v>335</v>
      </c>
      <c r="E32" s="66" t="s">
        <v>92</v>
      </c>
      <c r="F32" s="65" t="s">
        <v>348</v>
      </c>
      <c r="G32" s="66" t="s">
        <v>179</v>
      </c>
      <c r="H32" s="67" t="s">
        <v>93</v>
      </c>
      <c r="I32" s="65" t="s">
        <v>424</v>
      </c>
      <c r="J32" s="66" t="s">
        <v>199</v>
      </c>
      <c r="K32" s="67">
        <v>2016</v>
      </c>
      <c r="L32" s="67" t="s">
        <v>28</v>
      </c>
      <c r="M32" s="67"/>
      <c r="N32" s="66" t="s">
        <v>354</v>
      </c>
      <c r="O32"/>
    </row>
    <row r="33" spans="1:15" ht="31">
      <c r="A33" s="65" t="s">
        <v>81</v>
      </c>
      <c r="B33" s="66" t="s">
        <v>175</v>
      </c>
      <c r="C33" s="66" t="s">
        <v>22</v>
      </c>
      <c r="D33" s="66" t="s">
        <v>334</v>
      </c>
      <c r="E33" s="66" t="s">
        <v>52</v>
      </c>
      <c r="F33" s="78" t="s">
        <v>348</v>
      </c>
      <c r="G33" s="66" t="s">
        <v>53</v>
      </c>
      <c r="H33" s="67" t="s">
        <v>54</v>
      </c>
      <c r="I33" s="65" t="s">
        <v>424</v>
      </c>
      <c r="J33" s="66" t="s">
        <v>199</v>
      </c>
      <c r="K33" s="67">
        <v>2016</v>
      </c>
      <c r="L33" s="67" t="s">
        <v>28</v>
      </c>
      <c r="M33" s="67"/>
      <c r="N33" s="66" t="s">
        <v>354</v>
      </c>
      <c r="O33"/>
    </row>
    <row r="34" spans="1:15" ht="42">
      <c r="A34" s="65" t="s">
        <v>81</v>
      </c>
      <c r="B34" s="66" t="s">
        <v>175</v>
      </c>
      <c r="C34" s="18" t="s">
        <v>56</v>
      </c>
      <c r="D34" s="66" t="s">
        <v>334</v>
      </c>
      <c r="E34" s="66" t="s">
        <v>57</v>
      </c>
      <c r="F34" s="66" t="s">
        <v>349</v>
      </c>
      <c r="G34" s="66" t="s">
        <v>58</v>
      </c>
      <c r="H34" s="67" t="s">
        <v>59</v>
      </c>
      <c r="I34" s="65" t="s">
        <v>424</v>
      </c>
      <c r="J34" s="66" t="s">
        <v>199</v>
      </c>
      <c r="K34" s="67">
        <v>2014</v>
      </c>
      <c r="L34" s="67" t="s">
        <v>18</v>
      </c>
      <c r="M34" s="67"/>
      <c r="N34" s="66" t="s">
        <v>360</v>
      </c>
      <c r="O34" s="30"/>
    </row>
    <row r="35" spans="1:15" ht="42">
      <c r="A35" s="65" t="s">
        <v>81</v>
      </c>
      <c r="B35" s="66" t="s">
        <v>175</v>
      </c>
      <c r="C35" s="18" t="s">
        <v>56</v>
      </c>
      <c r="D35" s="66" t="s">
        <v>334</v>
      </c>
      <c r="E35" s="66" t="s">
        <v>64</v>
      </c>
      <c r="F35" s="79" t="s">
        <v>349</v>
      </c>
      <c r="G35" s="66" t="s">
        <v>65</v>
      </c>
      <c r="H35" s="67" t="s">
        <v>66</v>
      </c>
      <c r="I35" s="65" t="s">
        <v>424</v>
      </c>
      <c r="J35" s="66" t="s">
        <v>199</v>
      </c>
      <c r="K35" s="67">
        <v>2014</v>
      </c>
      <c r="L35" s="67" t="s">
        <v>18</v>
      </c>
      <c r="M35" s="67"/>
      <c r="N35" s="66" t="s">
        <v>360</v>
      </c>
      <c r="O35" s="30"/>
    </row>
    <row r="36" spans="1:15" ht="31">
      <c r="A36" s="65" t="s">
        <v>81</v>
      </c>
      <c r="B36" s="66" t="s">
        <v>175</v>
      </c>
      <c r="C36" s="66" t="s">
        <v>22</v>
      </c>
      <c r="D36" s="66" t="s">
        <v>334</v>
      </c>
      <c r="E36" s="66" t="s">
        <v>67</v>
      </c>
      <c r="F36" s="79" t="s">
        <v>349</v>
      </c>
      <c r="G36" s="66" t="s">
        <v>68</v>
      </c>
      <c r="H36" s="67" t="s">
        <v>69</v>
      </c>
      <c r="I36" s="65" t="s">
        <v>424</v>
      </c>
      <c r="J36" s="66" t="s">
        <v>199</v>
      </c>
      <c r="K36" s="67">
        <v>2015</v>
      </c>
      <c r="L36" s="67" t="s">
        <v>28</v>
      </c>
      <c r="M36" s="67"/>
      <c r="N36" s="66" t="s">
        <v>361</v>
      </c>
      <c r="O36"/>
    </row>
    <row r="37" spans="1:15" ht="31">
      <c r="A37" s="65" t="s">
        <v>81</v>
      </c>
      <c r="B37" s="66" t="s">
        <v>175</v>
      </c>
      <c r="C37" s="66" t="s">
        <v>303</v>
      </c>
      <c r="D37" s="66" t="s">
        <v>334</v>
      </c>
      <c r="E37" s="66" t="s">
        <v>67</v>
      </c>
      <c r="F37" s="66" t="s">
        <v>349</v>
      </c>
      <c r="G37" s="66" t="s">
        <v>300</v>
      </c>
      <c r="H37" s="67" t="s">
        <v>301</v>
      </c>
      <c r="I37" s="65" t="s">
        <v>424</v>
      </c>
      <c r="J37" s="66" t="s">
        <v>199</v>
      </c>
      <c r="K37" s="67">
        <v>2024</v>
      </c>
      <c r="L37" s="67" t="s">
        <v>267</v>
      </c>
      <c r="M37" s="67"/>
      <c r="N37" s="66" t="s">
        <v>361</v>
      </c>
      <c r="O37"/>
    </row>
    <row r="38" spans="1:15" ht="31">
      <c r="A38" s="65" t="s">
        <v>81</v>
      </c>
      <c r="B38" s="66" t="s">
        <v>175</v>
      </c>
      <c r="C38" s="66" t="s">
        <v>22</v>
      </c>
      <c r="D38" s="66" t="s">
        <v>334</v>
      </c>
      <c r="E38" s="66" t="s">
        <v>70</v>
      </c>
      <c r="F38" s="66" t="s">
        <v>349</v>
      </c>
      <c r="G38" s="66" t="s">
        <v>71</v>
      </c>
      <c r="H38" s="67" t="s">
        <v>72</v>
      </c>
      <c r="I38" s="65" t="s">
        <v>424</v>
      </c>
      <c r="J38" s="66" t="s">
        <v>199</v>
      </c>
      <c r="K38" s="67">
        <v>2015</v>
      </c>
      <c r="L38" s="67" t="s">
        <v>28</v>
      </c>
      <c r="M38" s="67"/>
      <c r="N38" s="66" t="s">
        <v>361</v>
      </c>
      <c r="O38"/>
    </row>
    <row r="39" spans="1:15" ht="31">
      <c r="A39" s="65" t="s">
        <v>81</v>
      </c>
      <c r="B39" s="66" t="s">
        <v>175</v>
      </c>
      <c r="C39" s="66" t="s">
        <v>22</v>
      </c>
      <c r="D39" s="66" t="s">
        <v>334</v>
      </c>
      <c r="E39" s="66" t="s">
        <v>74</v>
      </c>
      <c r="F39" s="65" t="s">
        <v>348</v>
      </c>
      <c r="G39" s="66" t="s">
        <v>75</v>
      </c>
      <c r="H39" s="67" t="s">
        <v>76</v>
      </c>
      <c r="I39" s="65" t="s">
        <v>424</v>
      </c>
      <c r="J39" s="66" t="s">
        <v>199</v>
      </c>
      <c r="K39" s="67">
        <v>2015</v>
      </c>
      <c r="L39" s="67" t="s">
        <v>28</v>
      </c>
      <c r="M39" s="67"/>
      <c r="N39" s="66" t="s">
        <v>361</v>
      </c>
      <c r="O39"/>
    </row>
    <row r="40" spans="1:15" ht="31">
      <c r="A40" s="65" t="s">
        <v>81</v>
      </c>
      <c r="B40" s="66" t="s">
        <v>175</v>
      </c>
      <c r="C40" s="66" t="s">
        <v>77</v>
      </c>
      <c r="D40" s="66" t="s">
        <v>334</v>
      </c>
      <c r="E40" s="66" t="s">
        <v>52</v>
      </c>
      <c r="F40" s="78" t="s">
        <v>348</v>
      </c>
      <c r="G40" s="66" t="s">
        <v>53</v>
      </c>
      <c r="H40" s="67" t="s">
        <v>54</v>
      </c>
      <c r="I40" s="65" t="s">
        <v>424</v>
      </c>
      <c r="J40" s="66" t="s">
        <v>199</v>
      </c>
      <c r="K40" s="67">
        <v>2016</v>
      </c>
      <c r="L40" s="67" t="s">
        <v>28</v>
      </c>
      <c r="M40" s="67"/>
      <c r="N40" s="66" t="s">
        <v>361</v>
      </c>
      <c r="O40"/>
    </row>
    <row r="41" spans="1:15" ht="31">
      <c r="A41" s="75" t="s">
        <v>81</v>
      </c>
      <c r="B41" s="76" t="s">
        <v>175</v>
      </c>
      <c r="C41" s="76" t="s">
        <v>34</v>
      </c>
      <c r="D41" s="66" t="s">
        <v>334</v>
      </c>
      <c r="E41" s="76" t="s">
        <v>82</v>
      </c>
      <c r="F41" s="87" t="s">
        <v>349</v>
      </c>
      <c r="G41" s="76" t="s">
        <v>83</v>
      </c>
      <c r="H41" s="77" t="s">
        <v>238</v>
      </c>
      <c r="I41" s="65" t="s">
        <v>424</v>
      </c>
      <c r="J41" s="76" t="s">
        <v>199</v>
      </c>
      <c r="K41" s="77">
        <v>2018</v>
      </c>
      <c r="L41" s="77" t="s">
        <v>28</v>
      </c>
      <c r="M41" s="77"/>
      <c r="N41" s="76" t="s">
        <v>361</v>
      </c>
      <c r="O41"/>
    </row>
    <row r="42" spans="1:15" ht="31">
      <c r="A42" s="75" t="s">
        <v>81</v>
      </c>
      <c r="B42" s="76" t="s">
        <v>175</v>
      </c>
      <c r="C42" s="76" t="s">
        <v>34</v>
      </c>
      <c r="D42" s="66" t="s">
        <v>334</v>
      </c>
      <c r="E42" s="76" t="s">
        <v>84</v>
      </c>
      <c r="F42" s="78" t="s">
        <v>348</v>
      </c>
      <c r="G42" s="76" t="s">
        <v>85</v>
      </c>
      <c r="H42" s="77" t="s">
        <v>239</v>
      </c>
      <c r="I42" s="65" t="s">
        <v>424</v>
      </c>
      <c r="J42" s="76" t="s">
        <v>199</v>
      </c>
      <c r="K42" s="77">
        <v>2018</v>
      </c>
      <c r="L42" s="77" t="s">
        <v>28</v>
      </c>
      <c r="M42" s="77"/>
      <c r="N42" s="76" t="s">
        <v>361</v>
      </c>
      <c r="O42"/>
    </row>
    <row r="43" spans="1:15" ht="31">
      <c r="A43" s="65" t="s">
        <v>81</v>
      </c>
      <c r="B43" s="66" t="s">
        <v>175</v>
      </c>
      <c r="C43" s="66" t="s">
        <v>22</v>
      </c>
      <c r="D43" s="66" t="s">
        <v>334</v>
      </c>
      <c r="E43" s="66" t="s">
        <v>86</v>
      </c>
      <c r="F43" s="78" t="s">
        <v>348</v>
      </c>
      <c r="G43" s="66" t="s">
        <v>87</v>
      </c>
      <c r="H43" s="67" t="s">
        <v>88</v>
      </c>
      <c r="I43" s="65" t="s">
        <v>424</v>
      </c>
      <c r="J43" s="66" t="s">
        <v>199</v>
      </c>
      <c r="K43" s="67">
        <v>2016</v>
      </c>
      <c r="L43" s="67" t="s">
        <v>28</v>
      </c>
      <c r="M43" s="67"/>
      <c r="N43" s="66" t="s">
        <v>361</v>
      </c>
      <c r="O43"/>
    </row>
    <row r="44" spans="1:15" ht="31">
      <c r="A44" s="65" t="s">
        <v>81</v>
      </c>
      <c r="B44" s="66" t="s">
        <v>175</v>
      </c>
      <c r="C44" s="66" t="s">
        <v>22</v>
      </c>
      <c r="D44" s="66" t="s">
        <v>334</v>
      </c>
      <c r="E44" s="66" t="s">
        <v>95</v>
      </c>
      <c r="F44" s="66" t="s">
        <v>349</v>
      </c>
      <c r="G44" s="66" t="s">
        <v>96</v>
      </c>
      <c r="H44" s="67" t="s">
        <v>97</v>
      </c>
      <c r="I44" s="65" t="s">
        <v>424</v>
      </c>
      <c r="J44" s="66" t="s">
        <v>199</v>
      </c>
      <c r="K44" s="67">
        <v>2016</v>
      </c>
      <c r="L44" s="67" t="s">
        <v>28</v>
      </c>
      <c r="M44" s="67"/>
      <c r="N44" s="66" t="s">
        <v>361</v>
      </c>
      <c r="O44"/>
    </row>
    <row r="45" spans="1:15" ht="46.5">
      <c r="A45" s="90" t="s">
        <v>81</v>
      </c>
      <c r="B45" s="90" t="s">
        <v>175</v>
      </c>
      <c r="C45" s="91" t="s">
        <v>192</v>
      </c>
      <c r="D45" s="66" t="s">
        <v>334</v>
      </c>
      <c r="E45" s="118" t="s">
        <v>206</v>
      </c>
      <c r="F45" s="79" t="s">
        <v>349</v>
      </c>
      <c r="G45" s="119" t="s">
        <v>320</v>
      </c>
      <c r="H45" s="120" t="s">
        <v>302</v>
      </c>
      <c r="I45" s="65" t="s">
        <v>424</v>
      </c>
      <c r="J45" s="65" t="s">
        <v>199</v>
      </c>
      <c r="K45" s="120">
        <v>2024</v>
      </c>
      <c r="L45" s="120" t="s">
        <v>182</v>
      </c>
      <c r="M45" s="120" t="s">
        <v>259</v>
      </c>
      <c r="N45" s="119" t="s">
        <v>361</v>
      </c>
      <c r="O45"/>
    </row>
    <row r="46" spans="1:15" ht="31">
      <c r="A46" s="86" t="s">
        <v>81</v>
      </c>
      <c r="B46" s="87" t="s">
        <v>175</v>
      </c>
      <c r="C46" s="87" t="s">
        <v>317</v>
      </c>
      <c r="D46" s="66" t="s">
        <v>334</v>
      </c>
      <c r="E46" s="87" t="s">
        <v>291</v>
      </c>
      <c r="F46" s="65" t="s">
        <v>348</v>
      </c>
      <c r="G46" s="87" t="s">
        <v>179</v>
      </c>
      <c r="H46" s="88" t="s">
        <v>93</v>
      </c>
      <c r="I46" s="65" t="s">
        <v>424</v>
      </c>
      <c r="J46" s="87" t="s">
        <v>199</v>
      </c>
      <c r="K46" s="88">
        <v>2024</v>
      </c>
      <c r="L46" s="88" t="s">
        <v>182</v>
      </c>
      <c r="M46" s="88" t="s">
        <v>259</v>
      </c>
      <c r="N46" s="87" t="s">
        <v>361</v>
      </c>
      <c r="O46" s="37" t="s">
        <v>278</v>
      </c>
    </row>
    <row r="47" spans="1:15" ht="31">
      <c r="A47" s="75" t="s">
        <v>81</v>
      </c>
      <c r="B47" s="76" t="s">
        <v>175</v>
      </c>
      <c r="C47" s="76" t="s">
        <v>317</v>
      </c>
      <c r="D47" s="66" t="s">
        <v>334</v>
      </c>
      <c r="E47" s="92" t="s">
        <v>346</v>
      </c>
      <c r="F47" s="78" t="s">
        <v>350</v>
      </c>
      <c r="G47" s="92" t="s">
        <v>323</v>
      </c>
      <c r="H47" s="93" t="s">
        <v>324</v>
      </c>
      <c r="I47" s="65" t="s">
        <v>424</v>
      </c>
      <c r="J47" s="76" t="s">
        <v>199</v>
      </c>
      <c r="K47" s="77">
        <v>2024</v>
      </c>
      <c r="L47" s="77" t="s">
        <v>182</v>
      </c>
      <c r="M47" s="77" t="s">
        <v>259</v>
      </c>
      <c r="N47" s="76" t="s">
        <v>361</v>
      </c>
      <c r="O47" s="37"/>
    </row>
    <row r="48" spans="1:15" ht="31">
      <c r="A48" s="65" t="s">
        <v>81</v>
      </c>
      <c r="B48" s="65" t="s">
        <v>175</v>
      </c>
      <c r="C48" s="110" t="s">
        <v>203</v>
      </c>
      <c r="D48" s="65" t="s">
        <v>335</v>
      </c>
      <c r="E48" s="84" t="s">
        <v>64</v>
      </c>
      <c r="F48" s="79" t="s">
        <v>15</v>
      </c>
      <c r="G48" s="78" t="s">
        <v>325</v>
      </c>
      <c r="H48" s="81" t="s">
        <v>216</v>
      </c>
      <c r="I48" s="65" t="s">
        <v>424</v>
      </c>
      <c r="J48" s="65" t="s">
        <v>199</v>
      </c>
      <c r="K48" s="115">
        <v>2024</v>
      </c>
      <c r="L48" s="89" t="s">
        <v>182</v>
      </c>
      <c r="M48" s="89" t="s">
        <v>259</v>
      </c>
      <c r="N48" s="65" t="s">
        <v>361</v>
      </c>
      <c r="O48" s="37"/>
    </row>
    <row r="49" spans="1:15" ht="31">
      <c r="A49" s="78" t="s">
        <v>81</v>
      </c>
      <c r="B49" s="78" t="s">
        <v>175</v>
      </c>
      <c r="C49" s="79" t="s">
        <v>203</v>
      </c>
      <c r="D49" s="65" t="s">
        <v>335</v>
      </c>
      <c r="E49" s="84" t="s">
        <v>214</v>
      </c>
      <c r="F49" s="78" t="s">
        <v>15</v>
      </c>
      <c r="G49" s="78" t="s">
        <v>230</v>
      </c>
      <c r="H49" s="81" t="s">
        <v>59</v>
      </c>
      <c r="I49" s="65" t="s">
        <v>424</v>
      </c>
      <c r="J49" s="78" t="s">
        <v>199</v>
      </c>
      <c r="K49" s="83">
        <v>2024</v>
      </c>
      <c r="L49" s="83" t="s">
        <v>182</v>
      </c>
      <c r="M49" s="83" t="s">
        <v>259</v>
      </c>
      <c r="N49" s="65" t="s">
        <v>361</v>
      </c>
      <c r="O49" s="37"/>
    </row>
    <row r="50" spans="1:15" s="36" customFormat="1" ht="31">
      <c r="A50" s="78" t="s">
        <v>81</v>
      </c>
      <c r="B50" s="87" t="s">
        <v>175</v>
      </c>
      <c r="C50" s="79" t="s">
        <v>22</v>
      </c>
      <c r="D50" s="79" t="s">
        <v>334</v>
      </c>
      <c r="E50" s="79" t="s">
        <v>163</v>
      </c>
      <c r="F50" s="66" t="s">
        <v>349</v>
      </c>
      <c r="G50" s="79" t="s">
        <v>164</v>
      </c>
      <c r="H50" s="94" t="s">
        <v>165</v>
      </c>
      <c r="I50" s="65" t="s">
        <v>424</v>
      </c>
      <c r="J50" s="79" t="s">
        <v>176</v>
      </c>
      <c r="K50" s="94">
        <v>2016</v>
      </c>
      <c r="L50" s="94" t="s">
        <v>28</v>
      </c>
      <c r="M50" s="94"/>
      <c r="N50" s="79" t="s">
        <v>361</v>
      </c>
      <c r="O50" s="37"/>
    </row>
    <row r="51" spans="1:15" s="36" customFormat="1" ht="31">
      <c r="A51" s="78" t="s">
        <v>81</v>
      </c>
      <c r="B51" s="87" t="s">
        <v>175</v>
      </c>
      <c r="C51" s="79" t="s">
        <v>22</v>
      </c>
      <c r="D51" s="79" t="s">
        <v>334</v>
      </c>
      <c r="E51" s="79" t="s">
        <v>168</v>
      </c>
      <c r="F51" s="65" t="s">
        <v>348</v>
      </c>
      <c r="G51" s="79" t="s">
        <v>169</v>
      </c>
      <c r="H51" s="94" t="s">
        <v>170</v>
      </c>
      <c r="I51" s="65" t="s">
        <v>424</v>
      </c>
      <c r="J51" s="79" t="s">
        <v>199</v>
      </c>
      <c r="K51" s="94">
        <v>2016</v>
      </c>
      <c r="L51" s="94" t="s">
        <v>28</v>
      </c>
      <c r="M51" s="94"/>
      <c r="N51" s="79" t="s">
        <v>361</v>
      </c>
      <c r="O51" s="37"/>
    </row>
    <row r="52" spans="1:15" ht="31">
      <c r="A52" s="78" t="s">
        <v>81</v>
      </c>
      <c r="B52" s="79" t="s">
        <v>175</v>
      </c>
      <c r="C52" s="79" t="s">
        <v>327</v>
      </c>
      <c r="D52" s="79" t="s">
        <v>335</v>
      </c>
      <c r="E52" s="79" t="s">
        <v>41</v>
      </c>
      <c r="F52" s="79" t="s">
        <v>349</v>
      </c>
      <c r="G52" s="79" t="s">
        <v>42</v>
      </c>
      <c r="H52" s="94">
        <v>776594761</v>
      </c>
      <c r="I52" s="79" t="s">
        <v>400</v>
      </c>
      <c r="J52" s="79"/>
      <c r="K52" s="94">
        <v>2019</v>
      </c>
      <c r="L52" s="94" t="s">
        <v>28</v>
      </c>
      <c r="M52" s="94"/>
      <c r="N52" s="66" t="s">
        <v>361</v>
      </c>
      <c r="O52"/>
    </row>
    <row r="53" spans="1:15" s="36" customFormat="1" ht="31">
      <c r="A53" s="86" t="s">
        <v>81</v>
      </c>
      <c r="B53" s="76" t="s">
        <v>175</v>
      </c>
      <c r="C53" s="87" t="s">
        <v>34</v>
      </c>
      <c r="D53" s="79" t="s">
        <v>334</v>
      </c>
      <c r="E53" s="87" t="s">
        <v>37</v>
      </c>
      <c r="F53" s="87" t="s">
        <v>349</v>
      </c>
      <c r="G53" s="87" t="s">
        <v>38</v>
      </c>
      <c r="H53" s="88">
        <v>775127979</v>
      </c>
      <c r="I53" s="79" t="s">
        <v>400</v>
      </c>
      <c r="J53" s="87" t="s">
        <v>199</v>
      </c>
      <c r="K53" s="88">
        <v>2018</v>
      </c>
      <c r="L53" s="88" t="s">
        <v>28</v>
      </c>
      <c r="M53" s="88"/>
      <c r="N53" s="87" t="s">
        <v>354</v>
      </c>
      <c r="O53" s="37"/>
    </row>
    <row r="54" spans="1:15" ht="31">
      <c r="A54" s="78" t="s">
        <v>81</v>
      </c>
      <c r="B54" s="65" t="s">
        <v>175</v>
      </c>
      <c r="C54" s="79" t="s">
        <v>203</v>
      </c>
      <c r="D54" s="65" t="s">
        <v>335</v>
      </c>
      <c r="E54" s="84" t="s">
        <v>211</v>
      </c>
      <c r="F54" s="79" t="s">
        <v>15</v>
      </c>
      <c r="G54" s="78" t="s">
        <v>228</v>
      </c>
      <c r="H54" s="81" t="s">
        <v>232</v>
      </c>
      <c r="I54" s="78" t="s">
        <v>400</v>
      </c>
      <c r="J54" s="78" t="s">
        <v>199</v>
      </c>
      <c r="K54" s="83">
        <v>2024</v>
      </c>
      <c r="L54" s="83" t="s">
        <v>182</v>
      </c>
      <c r="M54" s="83" t="s">
        <v>259</v>
      </c>
      <c r="N54" s="78" t="s">
        <v>361</v>
      </c>
      <c r="O54"/>
    </row>
    <row r="55" spans="1:15" ht="31">
      <c r="A55" s="78" t="s">
        <v>81</v>
      </c>
      <c r="B55" s="66" t="s">
        <v>175</v>
      </c>
      <c r="C55" s="79" t="s">
        <v>77</v>
      </c>
      <c r="D55" s="66" t="s">
        <v>334</v>
      </c>
      <c r="E55" s="79" t="s">
        <v>78</v>
      </c>
      <c r="F55" s="79" t="s">
        <v>349</v>
      </c>
      <c r="G55" s="79" t="s">
        <v>79</v>
      </c>
      <c r="H55" s="94" t="s">
        <v>80</v>
      </c>
      <c r="I55" s="79" t="s">
        <v>392</v>
      </c>
      <c r="J55" s="79" t="s">
        <v>199</v>
      </c>
      <c r="K55" s="94">
        <v>2016</v>
      </c>
      <c r="L55" s="94" t="s">
        <v>28</v>
      </c>
      <c r="M55" s="94"/>
      <c r="N55" s="79" t="s">
        <v>361</v>
      </c>
      <c r="O55"/>
    </row>
    <row r="56" spans="1:15" ht="31">
      <c r="A56" s="78" t="s">
        <v>81</v>
      </c>
      <c r="B56" s="66" t="s">
        <v>175</v>
      </c>
      <c r="C56" s="79" t="s">
        <v>22</v>
      </c>
      <c r="D56" s="66" t="s">
        <v>334</v>
      </c>
      <c r="E56" s="79" t="s">
        <v>94</v>
      </c>
      <c r="F56" s="79" t="s">
        <v>349</v>
      </c>
      <c r="G56" s="79" t="s">
        <v>79</v>
      </c>
      <c r="H56" s="94" t="s">
        <v>80</v>
      </c>
      <c r="I56" s="79" t="s">
        <v>392</v>
      </c>
      <c r="J56" s="79" t="s">
        <v>199</v>
      </c>
      <c r="K56" s="94">
        <v>2015</v>
      </c>
      <c r="L56" s="94" t="s">
        <v>28</v>
      </c>
      <c r="M56" s="94"/>
      <c r="N56" s="79" t="s">
        <v>361</v>
      </c>
      <c r="O56"/>
    </row>
    <row r="57" spans="1:15" ht="46.5">
      <c r="A57" s="65" t="s">
        <v>81</v>
      </c>
      <c r="B57" s="66" t="s">
        <v>175</v>
      </c>
      <c r="C57" s="66" t="s">
        <v>191</v>
      </c>
      <c r="D57" s="66" t="s">
        <v>334</v>
      </c>
      <c r="E57" s="111" t="s">
        <v>193</v>
      </c>
      <c r="F57" s="78" t="s">
        <v>15</v>
      </c>
      <c r="G57" s="65" t="s">
        <v>162</v>
      </c>
      <c r="H57" s="112" t="s">
        <v>233</v>
      </c>
      <c r="I57" s="78" t="s">
        <v>392</v>
      </c>
      <c r="J57" s="65" t="s">
        <v>201</v>
      </c>
      <c r="K57" s="89">
        <v>2024</v>
      </c>
      <c r="L57" s="89" t="s">
        <v>182</v>
      </c>
      <c r="M57" s="89"/>
      <c r="N57" s="65" t="s">
        <v>354</v>
      </c>
      <c r="O57"/>
    </row>
    <row r="58" spans="1:15" ht="31">
      <c r="A58" s="65" t="s">
        <v>81</v>
      </c>
      <c r="B58" s="66" t="s">
        <v>176</v>
      </c>
      <c r="C58" s="66" t="s">
        <v>327</v>
      </c>
      <c r="D58" s="66" t="s">
        <v>335</v>
      </c>
      <c r="E58" s="66" t="s">
        <v>167</v>
      </c>
      <c r="F58" s="66" t="s">
        <v>349</v>
      </c>
      <c r="G58" s="66" t="s">
        <v>180</v>
      </c>
      <c r="H58" s="67" t="s">
        <v>143</v>
      </c>
      <c r="I58" s="66" t="s">
        <v>388</v>
      </c>
      <c r="J58" s="66" t="s">
        <v>176</v>
      </c>
      <c r="K58" s="67">
        <v>2014</v>
      </c>
      <c r="L58" s="67" t="s">
        <v>18</v>
      </c>
      <c r="M58" s="67"/>
      <c r="N58" s="66" t="s">
        <v>360</v>
      </c>
      <c r="O58"/>
    </row>
    <row r="59" spans="1:15" ht="31">
      <c r="A59" s="65" t="s">
        <v>81</v>
      </c>
      <c r="B59" s="66" t="s">
        <v>176</v>
      </c>
      <c r="C59" s="66" t="s">
        <v>327</v>
      </c>
      <c r="D59" s="66" t="s">
        <v>335</v>
      </c>
      <c r="E59" s="66" t="s">
        <v>167</v>
      </c>
      <c r="F59" s="66" t="s">
        <v>349</v>
      </c>
      <c r="G59" s="66" t="s">
        <v>180</v>
      </c>
      <c r="H59" s="67" t="s">
        <v>143</v>
      </c>
      <c r="I59" s="66" t="s">
        <v>388</v>
      </c>
      <c r="J59" s="66" t="s">
        <v>176</v>
      </c>
      <c r="K59" s="67">
        <v>2019</v>
      </c>
      <c r="L59" s="67" t="s">
        <v>28</v>
      </c>
      <c r="M59" s="67"/>
      <c r="N59" s="66" t="s">
        <v>361</v>
      </c>
      <c r="O59"/>
    </row>
    <row r="60" spans="1:15" ht="31">
      <c r="A60" s="65" t="s">
        <v>81</v>
      </c>
      <c r="B60" s="66" t="s">
        <v>176</v>
      </c>
      <c r="C60" s="66" t="s">
        <v>329</v>
      </c>
      <c r="D60" s="66" t="s">
        <v>335</v>
      </c>
      <c r="E60" s="66" t="s">
        <v>167</v>
      </c>
      <c r="F60" s="66" t="s">
        <v>349</v>
      </c>
      <c r="G60" s="66" t="s">
        <v>180</v>
      </c>
      <c r="H60" s="67" t="s">
        <v>143</v>
      </c>
      <c r="I60" s="66" t="s">
        <v>388</v>
      </c>
      <c r="J60" s="66" t="s">
        <v>176</v>
      </c>
      <c r="K60" s="67">
        <v>2021</v>
      </c>
      <c r="L60" s="67" t="s">
        <v>282</v>
      </c>
      <c r="M60" s="67"/>
      <c r="N60" s="66" t="s">
        <v>361</v>
      </c>
      <c r="O60" s="37"/>
    </row>
    <row r="61" spans="1:15" ht="31">
      <c r="A61" s="65" t="s">
        <v>81</v>
      </c>
      <c r="B61" s="66" t="s">
        <v>176</v>
      </c>
      <c r="C61" s="66" t="s">
        <v>12</v>
      </c>
      <c r="D61" s="66" t="s">
        <v>334</v>
      </c>
      <c r="E61" s="66" t="s">
        <v>127</v>
      </c>
      <c r="F61" s="66" t="s">
        <v>349</v>
      </c>
      <c r="G61" s="66" t="s">
        <v>128</v>
      </c>
      <c r="H61" s="67" t="s">
        <v>243</v>
      </c>
      <c r="I61" s="79" t="s">
        <v>388</v>
      </c>
      <c r="J61" s="66" t="s">
        <v>176</v>
      </c>
      <c r="K61" s="67">
        <v>2014</v>
      </c>
      <c r="L61" s="67" t="s">
        <v>18</v>
      </c>
      <c r="M61" s="67"/>
      <c r="N61" s="66" t="s">
        <v>361</v>
      </c>
      <c r="O61" s="37"/>
    </row>
    <row r="62" spans="1:15" ht="31">
      <c r="A62" s="65" t="s">
        <v>81</v>
      </c>
      <c r="B62" s="66" t="s">
        <v>176</v>
      </c>
      <c r="C62" s="66" t="s">
        <v>22</v>
      </c>
      <c r="D62" s="66" t="s">
        <v>334</v>
      </c>
      <c r="E62" s="66" t="s">
        <v>138</v>
      </c>
      <c r="F62" s="66" t="s">
        <v>349</v>
      </c>
      <c r="G62" s="66" t="s">
        <v>139</v>
      </c>
      <c r="H62" s="67" t="s">
        <v>140</v>
      </c>
      <c r="I62" s="66" t="s">
        <v>388</v>
      </c>
      <c r="J62" s="66" t="s">
        <v>176</v>
      </c>
      <c r="K62" s="67">
        <v>2015</v>
      </c>
      <c r="L62" s="67" t="s">
        <v>28</v>
      </c>
      <c r="M62" s="67"/>
      <c r="N62" s="66" t="s">
        <v>354</v>
      </c>
      <c r="O62" s="37"/>
    </row>
    <row r="63" spans="1:15" ht="31">
      <c r="A63" s="65" t="s">
        <v>81</v>
      </c>
      <c r="B63" s="66" t="s">
        <v>176</v>
      </c>
      <c r="C63" s="66" t="s">
        <v>22</v>
      </c>
      <c r="D63" s="66" t="s">
        <v>334</v>
      </c>
      <c r="E63" s="66" t="s">
        <v>141</v>
      </c>
      <c r="F63" s="66" t="s">
        <v>349</v>
      </c>
      <c r="G63" s="66" t="s">
        <v>142</v>
      </c>
      <c r="H63" s="67" t="s">
        <v>143</v>
      </c>
      <c r="I63" s="66" t="s">
        <v>388</v>
      </c>
      <c r="J63" s="66" t="s">
        <v>176</v>
      </c>
      <c r="K63" s="67">
        <v>2015</v>
      </c>
      <c r="L63" s="67" t="s">
        <v>28</v>
      </c>
      <c r="M63" s="67"/>
      <c r="N63" s="66" t="s">
        <v>354</v>
      </c>
      <c r="O63" s="37"/>
    </row>
    <row r="64" spans="1:15" s="2" customFormat="1" ht="31">
      <c r="A64" s="75" t="s">
        <v>81</v>
      </c>
      <c r="B64" s="76" t="s">
        <v>176</v>
      </c>
      <c r="C64" s="76" t="s">
        <v>285</v>
      </c>
      <c r="D64" s="66" t="s">
        <v>334</v>
      </c>
      <c r="E64" s="76" t="s">
        <v>147</v>
      </c>
      <c r="F64" s="65" t="s">
        <v>348</v>
      </c>
      <c r="G64" s="76" t="s">
        <v>148</v>
      </c>
      <c r="H64" s="77" t="s">
        <v>245</v>
      </c>
      <c r="I64" s="66" t="s">
        <v>388</v>
      </c>
      <c r="J64" s="76" t="s">
        <v>176</v>
      </c>
      <c r="K64" s="77">
        <v>2018</v>
      </c>
      <c r="L64" s="77" t="s">
        <v>28</v>
      </c>
      <c r="M64" s="77"/>
      <c r="N64" s="76" t="s">
        <v>356</v>
      </c>
      <c r="O64" s="55" t="s">
        <v>283</v>
      </c>
    </row>
    <row r="65" spans="1:15" ht="31">
      <c r="A65" s="75" t="s">
        <v>81</v>
      </c>
      <c r="B65" s="76" t="s">
        <v>176</v>
      </c>
      <c r="C65" s="76" t="s">
        <v>285</v>
      </c>
      <c r="D65" s="66" t="s">
        <v>334</v>
      </c>
      <c r="E65" s="76" t="s">
        <v>149</v>
      </c>
      <c r="F65" s="76" t="s">
        <v>349</v>
      </c>
      <c r="G65" s="76" t="s">
        <v>150</v>
      </c>
      <c r="H65" s="77" t="s">
        <v>143</v>
      </c>
      <c r="I65" s="66" t="s">
        <v>388</v>
      </c>
      <c r="J65" s="76" t="s">
        <v>176</v>
      </c>
      <c r="K65" s="77">
        <v>2018</v>
      </c>
      <c r="L65" s="77" t="s">
        <v>28</v>
      </c>
      <c r="M65" s="77"/>
      <c r="N65" s="76" t="s">
        <v>354</v>
      </c>
      <c r="O65" s="42" t="s">
        <v>284</v>
      </c>
    </row>
    <row r="66" spans="1:15" ht="31">
      <c r="A66" s="65" t="s">
        <v>81</v>
      </c>
      <c r="B66" s="65" t="s">
        <v>176</v>
      </c>
      <c r="C66" s="66" t="s">
        <v>203</v>
      </c>
      <c r="D66" s="65" t="s">
        <v>335</v>
      </c>
      <c r="E66" s="111" t="s">
        <v>212</v>
      </c>
      <c r="F66" s="65" t="s">
        <v>15</v>
      </c>
      <c r="G66" s="65" t="s">
        <v>180</v>
      </c>
      <c r="H66" s="112" t="s">
        <v>217</v>
      </c>
      <c r="I66" s="65" t="s">
        <v>388</v>
      </c>
      <c r="J66" s="65" t="s">
        <v>226</v>
      </c>
      <c r="K66" s="89">
        <v>2024</v>
      </c>
      <c r="L66" s="89" t="s">
        <v>182</v>
      </c>
      <c r="M66" s="89"/>
      <c r="N66" s="65" t="s">
        <v>354</v>
      </c>
      <c r="O66"/>
    </row>
    <row r="67" spans="1:15" ht="31">
      <c r="A67" s="65" t="s">
        <v>81</v>
      </c>
      <c r="B67" s="65" t="s">
        <v>176</v>
      </c>
      <c r="C67" s="66" t="s">
        <v>261</v>
      </c>
      <c r="D67" s="66" t="s">
        <v>334</v>
      </c>
      <c r="E67" s="111" t="s">
        <v>262</v>
      </c>
      <c r="F67" s="65" t="s">
        <v>15</v>
      </c>
      <c r="G67" s="65" t="s">
        <v>264</v>
      </c>
      <c r="H67" s="112" t="s">
        <v>265</v>
      </c>
      <c r="I67" s="65" t="s">
        <v>388</v>
      </c>
      <c r="J67" s="65" t="s">
        <v>226</v>
      </c>
      <c r="K67" s="89">
        <v>2024</v>
      </c>
      <c r="L67" s="89" t="s">
        <v>266</v>
      </c>
      <c r="M67" s="117" t="s">
        <v>267</v>
      </c>
      <c r="N67" s="65" t="s">
        <v>354</v>
      </c>
      <c r="O67"/>
    </row>
    <row r="68" spans="1:15" s="36" customFormat="1" ht="31">
      <c r="A68" s="65" t="s">
        <v>81</v>
      </c>
      <c r="B68" s="65" t="s">
        <v>176</v>
      </c>
      <c r="C68" s="66" t="s">
        <v>261</v>
      </c>
      <c r="D68" s="66" t="s">
        <v>334</v>
      </c>
      <c r="E68" s="111" t="s">
        <v>268</v>
      </c>
      <c r="F68" s="65" t="s">
        <v>15</v>
      </c>
      <c r="G68" s="65" t="s">
        <v>269</v>
      </c>
      <c r="H68" s="112" t="s">
        <v>270</v>
      </c>
      <c r="I68" s="79" t="s">
        <v>399</v>
      </c>
      <c r="J68" s="65" t="s">
        <v>226</v>
      </c>
      <c r="K68" s="89">
        <v>2024</v>
      </c>
      <c r="L68" s="89" t="s">
        <v>266</v>
      </c>
      <c r="M68" s="117" t="s">
        <v>267</v>
      </c>
      <c r="N68" s="65" t="s">
        <v>354</v>
      </c>
      <c r="O68"/>
    </row>
    <row r="69" spans="1:15" s="36" customFormat="1" ht="31">
      <c r="A69" s="65" t="s">
        <v>81</v>
      </c>
      <c r="B69" s="65" t="s">
        <v>176</v>
      </c>
      <c r="C69" s="66" t="s">
        <v>272</v>
      </c>
      <c r="D69" s="65" t="s">
        <v>335</v>
      </c>
      <c r="E69" s="111" t="s">
        <v>273</v>
      </c>
      <c r="F69" s="65" t="s">
        <v>343</v>
      </c>
      <c r="G69" s="65" t="s">
        <v>280</v>
      </c>
      <c r="H69" s="112" t="s">
        <v>281</v>
      </c>
      <c r="I69" s="79" t="s">
        <v>399</v>
      </c>
      <c r="J69" s="65" t="s">
        <v>275</v>
      </c>
      <c r="K69" s="89">
        <v>2024</v>
      </c>
      <c r="L69" s="89" t="s">
        <v>276</v>
      </c>
      <c r="M69" s="89" t="s">
        <v>277</v>
      </c>
      <c r="N69" s="89" t="s">
        <v>354</v>
      </c>
      <c r="O69"/>
    </row>
    <row r="70" spans="1:15" s="36" customFormat="1" ht="53.4" customHeight="1">
      <c r="A70" s="65" t="s">
        <v>81</v>
      </c>
      <c r="B70" s="65" t="s">
        <v>176</v>
      </c>
      <c r="C70" s="66" t="s">
        <v>272</v>
      </c>
      <c r="D70" s="65" t="s">
        <v>335</v>
      </c>
      <c r="E70" s="111" t="s">
        <v>273</v>
      </c>
      <c r="F70" s="78" t="s">
        <v>343</v>
      </c>
      <c r="G70" s="65" t="s">
        <v>280</v>
      </c>
      <c r="H70" s="112" t="s">
        <v>281</v>
      </c>
      <c r="I70" s="79" t="s">
        <v>399</v>
      </c>
      <c r="J70" s="65" t="s">
        <v>275</v>
      </c>
      <c r="K70" s="89">
        <v>2024</v>
      </c>
      <c r="L70" s="89" t="s">
        <v>276</v>
      </c>
      <c r="M70" s="89" t="s">
        <v>277</v>
      </c>
      <c r="N70" s="89" t="s">
        <v>354</v>
      </c>
      <c r="O70" s="30"/>
    </row>
    <row r="71" spans="1:15" s="36" customFormat="1" ht="38" customHeight="1">
      <c r="A71" s="65" t="s">
        <v>81</v>
      </c>
      <c r="B71" s="65" t="s">
        <v>176</v>
      </c>
      <c r="C71" s="66" t="s">
        <v>336</v>
      </c>
      <c r="D71" s="65" t="s">
        <v>335</v>
      </c>
      <c r="E71" s="111" t="s">
        <v>273</v>
      </c>
      <c r="F71" s="65" t="s">
        <v>343</v>
      </c>
      <c r="G71" s="65" t="s">
        <v>280</v>
      </c>
      <c r="H71" s="112" t="s">
        <v>281</v>
      </c>
      <c r="I71" s="79" t="s">
        <v>399</v>
      </c>
      <c r="J71" s="65" t="s">
        <v>275</v>
      </c>
      <c r="K71" s="89">
        <v>2024</v>
      </c>
      <c r="L71" s="89" t="s">
        <v>276</v>
      </c>
      <c r="M71" s="89" t="s">
        <v>277</v>
      </c>
      <c r="N71" s="89" t="s">
        <v>354</v>
      </c>
      <c r="O71" s="30"/>
    </row>
    <row r="72" spans="1:15" s="36" customFormat="1" ht="31">
      <c r="A72" s="65" t="s">
        <v>81</v>
      </c>
      <c r="B72" s="65" t="s">
        <v>176</v>
      </c>
      <c r="C72" s="66" t="s">
        <v>286</v>
      </c>
      <c r="D72" s="66" t="s">
        <v>334</v>
      </c>
      <c r="E72" s="111" t="s">
        <v>273</v>
      </c>
      <c r="F72" s="65" t="s">
        <v>350</v>
      </c>
      <c r="G72" s="65" t="s">
        <v>280</v>
      </c>
      <c r="H72" s="112" t="s">
        <v>281</v>
      </c>
      <c r="I72" s="79" t="s">
        <v>399</v>
      </c>
      <c r="J72" s="65" t="s">
        <v>226</v>
      </c>
      <c r="K72" s="89">
        <v>2024</v>
      </c>
      <c r="L72" s="89" t="s">
        <v>276</v>
      </c>
      <c r="M72" s="89" t="s">
        <v>267</v>
      </c>
      <c r="N72" s="89" t="s">
        <v>354</v>
      </c>
      <c r="O72" s="30"/>
    </row>
    <row r="73" spans="1:15" s="36" customFormat="1" ht="31">
      <c r="A73" s="65" t="s">
        <v>81</v>
      </c>
      <c r="B73" s="65" t="s">
        <v>176</v>
      </c>
      <c r="C73" s="66" t="s">
        <v>290</v>
      </c>
      <c r="D73" s="66" t="s">
        <v>334</v>
      </c>
      <c r="E73" s="111" t="s">
        <v>291</v>
      </c>
      <c r="F73" s="65" t="s">
        <v>348</v>
      </c>
      <c r="G73" s="65" t="s">
        <v>289</v>
      </c>
      <c r="H73" s="112" t="s">
        <v>292</v>
      </c>
      <c r="I73" s="79" t="s">
        <v>399</v>
      </c>
      <c r="J73" s="65" t="s">
        <v>226</v>
      </c>
      <c r="K73" s="89">
        <v>2024</v>
      </c>
      <c r="L73" s="89" t="s">
        <v>293</v>
      </c>
      <c r="M73" s="89" t="s">
        <v>259</v>
      </c>
      <c r="N73" s="89" t="s">
        <v>354</v>
      </c>
      <c r="O73" s="30"/>
    </row>
    <row r="74" spans="1:15" ht="31">
      <c r="A74" s="65" t="s">
        <v>81</v>
      </c>
      <c r="B74" s="65" t="s">
        <v>176</v>
      </c>
      <c r="C74" s="66" t="s">
        <v>294</v>
      </c>
      <c r="D74" s="65" t="s">
        <v>335</v>
      </c>
      <c r="E74" s="111" t="s">
        <v>291</v>
      </c>
      <c r="F74" s="78" t="s">
        <v>348</v>
      </c>
      <c r="G74" s="65" t="s">
        <v>289</v>
      </c>
      <c r="H74" s="112" t="s">
        <v>292</v>
      </c>
      <c r="I74" s="79" t="s">
        <v>399</v>
      </c>
      <c r="J74" s="65" t="s">
        <v>226</v>
      </c>
      <c r="K74" s="89">
        <v>2024</v>
      </c>
      <c r="L74" s="89" t="s">
        <v>293</v>
      </c>
      <c r="M74" s="89" t="s">
        <v>259</v>
      </c>
      <c r="N74" s="89" t="s">
        <v>354</v>
      </c>
      <c r="O74" s="30"/>
    </row>
    <row r="75" spans="1:15" ht="31">
      <c r="A75" s="65" t="s">
        <v>81</v>
      </c>
      <c r="B75" s="65" t="s">
        <v>176</v>
      </c>
      <c r="C75" s="66" t="s">
        <v>290</v>
      </c>
      <c r="D75" s="66" t="s">
        <v>334</v>
      </c>
      <c r="E75" s="111" t="s">
        <v>291</v>
      </c>
      <c r="F75" s="78" t="s">
        <v>348</v>
      </c>
      <c r="G75" s="65" t="s">
        <v>297</v>
      </c>
      <c r="H75" s="112" t="s">
        <v>298</v>
      </c>
      <c r="I75" s="79" t="s">
        <v>399</v>
      </c>
      <c r="J75" s="65" t="s">
        <v>226</v>
      </c>
      <c r="K75" s="89">
        <v>2016</v>
      </c>
      <c r="L75" s="89" t="s">
        <v>28</v>
      </c>
      <c r="M75" s="89" t="s">
        <v>259</v>
      </c>
      <c r="N75" s="89" t="s">
        <v>354</v>
      </c>
      <c r="O75" s="30"/>
    </row>
    <row r="76" spans="1:15" ht="46.5">
      <c r="A76" s="65" t="s">
        <v>81</v>
      </c>
      <c r="B76" s="66" t="s">
        <v>176</v>
      </c>
      <c r="C76" s="66" t="s">
        <v>56</v>
      </c>
      <c r="D76" s="66" t="s">
        <v>334</v>
      </c>
      <c r="E76" s="66" t="s">
        <v>60</v>
      </c>
      <c r="F76" s="79" t="s">
        <v>349</v>
      </c>
      <c r="G76" s="66" t="s">
        <v>61</v>
      </c>
      <c r="H76" s="67" t="s">
        <v>62</v>
      </c>
      <c r="I76" s="79" t="s">
        <v>399</v>
      </c>
      <c r="J76" s="66" t="s">
        <v>176</v>
      </c>
      <c r="K76" s="67">
        <v>2014</v>
      </c>
      <c r="L76" s="67" t="s">
        <v>18</v>
      </c>
      <c r="M76" s="67"/>
      <c r="N76" s="66" t="s">
        <v>360</v>
      </c>
      <c r="O76" s="30"/>
    </row>
    <row r="77" spans="1:15" ht="46.5">
      <c r="A77" s="65" t="s">
        <v>81</v>
      </c>
      <c r="B77" s="66" t="s">
        <v>176</v>
      </c>
      <c r="C77" s="66" t="s">
        <v>12</v>
      </c>
      <c r="D77" s="66" t="s">
        <v>334</v>
      </c>
      <c r="E77" s="66" t="s">
        <v>130</v>
      </c>
      <c r="F77" s="79" t="s">
        <v>349</v>
      </c>
      <c r="G77" s="66" t="s">
        <v>131</v>
      </c>
      <c r="H77" s="67" t="s">
        <v>244</v>
      </c>
      <c r="I77" s="79" t="s">
        <v>399</v>
      </c>
      <c r="J77" s="66" t="s">
        <v>176</v>
      </c>
      <c r="K77" s="67">
        <v>2014</v>
      </c>
      <c r="L77" s="67" t="s">
        <v>18</v>
      </c>
      <c r="M77" s="67"/>
      <c r="N77" s="66" t="s">
        <v>360</v>
      </c>
      <c r="O77" s="30"/>
    </row>
    <row r="78" spans="1:15" ht="46.5">
      <c r="A78" s="65" t="s">
        <v>81</v>
      </c>
      <c r="B78" s="66" t="s">
        <v>176</v>
      </c>
      <c r="C78" s="66" t="s">
        <v>56</v>
      </c>
      <c r="D78" s="66" t="s">
        <v>334</v>
      </c>
      <c r="E78" s="91" t="s">
        <v>133</v>
      </c>
      <c r="F78" s="91" t="s">
        <v>349</v>
      </c>
      <c r="G78" s="91" t="s">
        <v>155</v>
      </c>
      <c r="H78" s="95" t="s">
        <v>134</v>
      </c>
      <c r="I78" s="79" t="s">
        <v>399</v>
      </c>
      <c r="J78" s="66" t="s">
        <v>176</v>
      </c>
      <c r="K78" s="95">
        <v>2014</v>
      </c>
      <c r="L78" s="95" t="s">
        <v>18</v>
      </c>
      <c r="M78" s="95"/>
      <c r="N78" s="91" t="s">
        <v>354</v>
      </c>
      <c r="O78"/>
    </row>
    <row r="79" spans="1:15" s="36" customFormat="1" ht="43.25" customHeight="1">
      <c r="A79" s="78" t="s">
        <v>81</v>
      </c>
      <c r="B79" s="79" t="s">
        <v>176</v>
      </c>
      <c r="C79" s="79" t="s">
        <v>56</v>
      </c>
      <c r="D79" s="66" t="s">
        <v>334</v>
      </c>
      <c r="E79" s="79" t="s">
        <v>135</v>
      </c>
      <c r="F79" s="79" t="s">
        <v>349</v>
      </c>
      <c r="G79" s="79" t="s">
        <v>136</v>
      </c>
      <c r="H79" s="94" t="s">
        <v>137</v>
      </c>
      <c r="I79" s="79" t="s">
        <v>399</v>
      </c>
      <c r="J79" s="79" t="s">
        <v>176</v>
      </c>
      <c r="K79" s="94">
        <v>2014</v>
      </c>
      <c r="L79" s="94" t="s">
        <v>18</v>
      </c>
      <c r="M79" s="94"/>
      <c r="N79" s="79" t="s">
        <v>354</v>
      </c>
      <c r="O79" s="44" t="s">
        <v>278</v>
      </c>
    </row>
    <row r="80" spans="1:15" s="36" customFormat="1" ht="31">
      <c r="A80" s="78" t="s">
        <v>81</v>
      </c>
      <c r="B80" s="79" t="s">
        <v>176</v>
      </c>
      <c r="C80" s="79" t="s">
        <v>22</v>
      </c>
      <c r="D80" s="79" t="s">
        <v>334</v>
      </c>
      <c r="E80" s="79" t="s">
        <v>144</v>
      </c>
      <c r="F80" s="79" t="s">
        <v>349</v>
      </c>
      <c r="G80" s="79" t="s">
        <v>145</v>
      </c>
      <c r="H80" s="94" t="s">
        <v>146</v>
      </c>
      <c r="I80" s="79" t="s">
        <v>399</v>
      </c>
      <c r="J80" s="79" t="s">
        <v>176</v>
      </c>
      <c r="K80" s="94">
        <v>2015</v>
      </c>
      <c r="L80" s="94" t="s">
        <v>28</v>
      </c>
      <c r="M80" s="94"/>
      <c r="N80" s="79" t="s">
        <v>354</v>
      </c>
      <c r="O80" s="37"/>
    </row>
    <row r="81" spans="1:15" s="36" customFormat="1" ht="31">
      <c r="A81" s="86" t="s">
        <v>81</v>
      </c>
      <c r="B81" s="87" t="s">
        <v>176</v>
      </c>
      <c r="C81" s="87" t="s">
        <v>285</v>
      </c>
      <c r="D81" s="79" t="s">
        <v>334</v>
      </c>
      <c r="E81" s="87" t="s">
        <v>151</v>
      </c>
      <c r="F81" s="87" t="s">
        <v>349</v>
      </c>
      <c r="G81" s="87" t="s">
        <v>152</v>
      </c>
      <c r="H81" s="88" t="s">
        <v>246</v>
      </c>
      <c r="I81" s="78" t="s">
        <v>399</v>
      </c>
      <c r="J81" s="87" t="s">
        <v>176</v>
      </c>
      <c r="K81" s="88">
        <v>2018</v>
      </c>
      <c r="L81" s="88" t="s">
        <v>28</v>
      </c>
      <c r="M81" s="88"/>
      <c r="N81" s="87" t="s">
        <v>354</v>
      </c>
      <c r="O81" s="37"/>
    </row>
    <row r="82" spans="1:15" ht="31">
      <c r="A82" s="86" t="s">
        <v>81</v>
      </c>
      <c r="B82" s="87" t="s">
        <v>176</v>
      </c>
      <c r="C82" s="87" t="s">
        <v>285</v>
      </c>
      <c r="D82" s="66" t="s">
        <v>334</v>
      </c>
      <c r="E82" s="87" t="s">
        <v>154</v>
      </c>
      <c r="F82" s="87" t="s">
        <v>15</v>
      </c>
      <c r="G82" s="87" t="s">
        <v>155</v>
      </c>
      <c r="H82" s="88" t="s">
        <v>134</v>
      </c>
      <c r="I82" s="78" t="s">
        <v>399</v>
      </c>
      <c r="J82" s="87" t="s">
        <v>176</v>
      </c>
      <c r="K82" s="88">
        <v>2018</v>
      </c>
      <c r="L82" s="88" t="s">
        <v>28</v>
      </c>
      <c r="M82" s="88"/>
      <c r="N82" s="87" t="s">
        <v>354</v>
      </c>
      <c r="O82" s="37"/>
    </row>
    <row r="83" spans="1:15" s="36" customFormat="1" ht="31">
      <c r="A83" s="86" t="s">
        <v>81</v>
      </c>
      <c r="B83" s="87" t="s">
        <v>176</v>
      </c>
      <c r="C83" s="87" t="s">
        <v>285</v>
      </c>
      <c r="D83" s="79" t="s">
        <v>334</v>
      </c>
      <c r="E83" s="87" t="s">
        <v>157</v>
      </c>
      <c r="F83" s="78" t="s">
        <v>348</v>
      </c>
      <c r="G83" s="87" t="s">
        <v>158</v>
      </c>
      <c r="H83" s="88" t="s">
        <v>248</v>
      </c>
      <c r="I83" s="78" t="s">
        <v>399</v>
      </c>
      <c r="J83" s="87" t="s">
        <v>176</v>
      </c>
      <c r="K83" s="88">
        <v>2018</v>
      </c>
      <c r="L83" s="88" t="s">
        <v>28</v>
      </c>
      <c r="M83" s="88"/>
      <c r="N83" s="87" t="s">
        <v>354</v>
      </c>
      <c r="O83"/>
    </row>
    <row r="84" spans="1:15" s="36" customFormat="1" ht="31">
      <c r="A84" s="86" t="s">
        <v>81</v>
      </c>
      <c r="B84" s="87" t="s">
        <v>176</v>
      </c>
      <c r="C84" s="87" t="s">
        <v>285</v>
      </c>
      <c r="D84" s="66" t="s">
        <v>334</v>
      </c>
      <c r="E84" s="87" t="s">
        <v>159</v>
      </c>
      <c r="F84" s="78" t="s">
        <v>348</v>
      </c>
      <c r="G84" s="87" t="s">
        <v>159</v>
      </c>
      <c r="H84" s="88" t="s">
        <v>249</v>
      </c>
      <c r="I84" s="78" t="s">
        <v>399</v>
      </c>
      <c r="J84" s="87" t="s">
        <v>176</v>
      </c>
      <c r="K84" s="88">
        <v>2018</v>
      </c>
      <c r="L84" s="88" t="s">
        <v>28</v>
      </c>
      <c r="M84" s="88"/>
      <c r="N84" s="87" t="s">
        <v>354</v>
      </c>
      <c r="O84" s="37"/>
    </row>
    <row r="85" spans="1:15" s="36" customFormat="1" ht="31">
      <c r="A85" s="86" t="s">
        <v>81</v>
      </c>
      <c r="B85" s="87" t="s">
        <v>176</v>
      </c>
      <c r="C85" s="87" t="s">
        <v>285</v>
      </c>
      <c r="D85" s="66" t="s">
        <v>334</v>
      </c>
      <c r="E85" s="87" t="s">
        <v>160</v>
      </c>
      <c r="F85" s="78" t="s">
        <v>348</v>
      </c>
      <c r="G85" s="87" t="s">
        <v>161</v>
      </c>
      <c r="H85" s="88" t="s">
        <v>250</v>
      </c>
      <c r="I85" s="78" t="s">
        <v>399</v>
      </c>
      <c r="J85" s="87" t="s">
        <v>176</v>
      </c>
      <c r="K85" s="88">
        <v>2018</v>
      </c>
      <c r="L85" s="88" t="s">
        <v>28</v>
      </c>
      <c r="M85" s="88"/>
      <c r="N85" s="87" t="s">
        <v>354</v>
      </c>
      <c r="O85" s="37"/>
    </row>
    <row r="86" spans="1:15" s="36" customFormat="1" ht="31">
      <c r="A86" s="78" t="s">
        <v>81</v>
      </c>
      <c r="B86" s="79" t="s">
        <v>176</v>
      </c>
      <c r="C86" s="79" t="s">
        <v>22</v>
      </c>
      <c r="D86" s="79" t="s">
        <v>334</v>
      </c>
      <c r="E86" s="79" t="s">
        <v>166</v>
      </c>
      <c r="F86" s="79" t="s">
        <v>349</v>
      </c>
      <c r="G86" s="79" t="s">
        <v>136</v>
      </c>
      <c r="H86" s="94" t="s">
        <v>137</v>
      </c>
      <c r="I86" s="78" t="s">
        <v>399</v>
      </c>
      <c r="J86" s="79" t="s">
        <v>176</v>
      </c>
      <c r="K86" s="94">
        <v>2016</v>
      </c>
      <c r="L86" s="94" t="s">
        <v>28</v>
      </c>
      <c r="M86" s="94"/>
      <c r="N86" s="79" t="s">
        <v>354</v>
      </c>
      <c r="O86" s="37"/>
    </row>
    <row r="87" spans="1:15" s="36" customFormat="1" ht="31">
      <c r="A87" s="78" t="s">
        <v>81</v>
      </c>
      <c r="B87" s="78" t="s">
        <v>176</v>
      </c>
      <c r="C87" s="79" t="s">
        <v>192</v>
      </c>
      <c r="D87" s="79" t="s">
        <v>334</v>
      </c>
      <c r="E87" s="84" t="s">
        <v>202</v>
      </c>
      <c r="F87" s="78" t="s">
        <v>349</v>
      </c>
      <c r="G87" s="78" t="s">
        <v>204</v>
      </c>
      <c r="H87" s="81" t="s">
        <v>146</v>
      </c>
      <c r="I87" s="78" t="s">
        <v>399</v>
      </c>
      <c r="J87" s="78" t="s">
        <v>176</v>
      </c>
      <c r="K87" s="83">
        <v>2024</v>
      </c>
      <c r="L87" s="83" t="s">
        <v>182</v>
      </c>
      <c r="M87" s="83" t="s">
        <v>259</v>
      </c>
      <c r="N87" s="78" t="s">
        <v>354</v>
      </c>
      <c r="O87" s="37"/>
    </row>
    <row r="88" spans="1:15" ht="31">
      <c r="A88" s="78" t="s">
        <v>81</v>
      </c>
      <c r="B88" s="65" t="s">
        <v>176</v>
      </c>
      <c r="C88" s="79" t="s">
        <v>203</v>
      </c>
      <c r="D88" s="78" t="s">
        <v>335</v>
      </c>
      <c r="E88" s="84" t="s">
        <v>202</v>
      </c>
      <c r="F88" s="78" t="s">
        <v>15</v>
      </c>
      <c r="G88" s="78" t="s">
        <v>204</v>
      </c>
      <c r="H88" s="81" t="s">
        <v>146</v>
      </c>
      <c r="I88" s="78" t="s">
        <v>399</v>
      </c>
      <c r="J88" s="78" t="s">
        <v>176</v>
      </c>
      <c r="K88" s="83">
        <v>2024</v>
      </c>
      <c r="L88" s="83" t="s">
        <v>182</v>
      </c>
      <c r="M88" s="83" t="s">
        <v>259</v>
      </c>
      <c r="N88" s="78" t="s">
        <v>354</v>
      </c>
      <c r="O88" s="37"/>
    </row>
    <row r="89" spans="1:15" ht="31">
      <c r="A89" s="78" t="s">
        <v>81</v>
      </c>
      <c r="B89" s="79" t="s">
        <v>176</v>
      </c>
      <c r="C89" s="79" t="s">
        <v>328</v>
      </c>
      <c r="D89" s="66" t="s">
        <v>335</v>
      </c>
      <c r="E89" s="79" t="s">
        <v>162</v>
      </c>
      <c r="F89" s="78" t="s">
        <v>348</v>
      </c>
      <c r="G89" s="79" t="s">
        <v>162</v>
      </c>
      <c r="H89" s="94" t="s">
        <v>233</v>
      </c>
      <c r="I89" s="78" t="s">
        <v>425</v>
      </c>
      <c r="J89" s="79" t="s">
        <v>176</v>
      </c>
      <c r="K89" s="94">
        <v>2018</v>
      </c>
      <c r="L89" s="94" t="s">
        <v>28</v>
      </c>
      <c r="M89" s="94"/>
      <c r="N89" s="79" t="s">
        <v>360</v>
      </c>
      <c r="O89"/>
    </row>
    <row r="90" spans="1:15" ht="31">
      <c r="A90" s="78" t="s">
        <v>81</v>
      </c>
      <c r="B90" s="79" t="s">
        <v>176</v>
      </c>
      <c r="C90" s="79" t="s">
        <v>326</v>
      </c>
      <c r="D90" s="66" t="s">
        <v>335</v>
      </c>
      <c r="E90" s="79" t="s">
        <v>171</v>
      </c>
      <c r="F90" s="79" t="s">
        <v>349</v>
      </c>
      <c r="G90" s="79" t="s">
        <v>173</v>
      </c>
      <c r="H90" s="114" t="s">
        <v>242</v>
      </c>
      <c r="I90" s="78" t="s">
        <v>425</v>
      </c>
      <c r="J90" s="79" t="s">
        <v>176</v>
      </c>
      <c r="K90" s="94">
        <v>2019</v>
      </c>
      <c r="L90" s="94" t="s">
        <v>28</v>
      </c>
      <c r="M90" s="94"/>
      <c r="N90" s="79" t="s">
        <v>360</v>
      </c>
      <c r="O90"/>
    </row>
    <row r="91" spans="1:15" ht="46.5">
      <c r="A91" s="86" t="s">
        <v>81</v>
      </c>
      <c r="B91" s="87" t="s">
        <v>176</v>
      </c>
      <c r="C91" s="87" t="s">
        <v>285</v>
      </c>
      <c r="D91" s="79" t="s">
        <v>334</v>
      </c>
      <c r="E91" s="87" t="s">
        <v>156</v>
      </c>
      <c r="F91" s="78" t="s">
        <v>348</v>
      </c>
      <c r="G91" s="87" t="s">
        <v>156</v>
      </c>
      <c r="H91" s="88" t="s">
        <v>247</v>
      </c>
      <c r="I91" s="78" t="s">
        <v>425</v>
      </c>
      <c r="J91" s="87" t="s">
        <v>176</v>
      </c>
      <c r="K91" s="88">
        <v>2018</v>
      </c>
      <c r="L91" s="88" t="s">
        <v>28</v>
      </c>
      <c r="M91" s="88"/>
      <c r="N91" s="87" t="s">
        <v>354</v>
      </c>
      <c r="O91"/>
    </row>
    <row r="92" spans="1:15" ht="46.5">
      <c r="A92" s="78" t="s">
        <v>81</v>
      </c>
      <c r="B92" s="65" t="s">
        <v>176</v>
      </c>
      <c r="C92" s="79" t="s">
        <v>203</v>
      </c>
      <c r="D92" s="65" t="s">
        <v>335</v>
      </c>
      <c r="E92" s="84" t="s">
        <v>210</v>
      </c>
      <c r="F92" s="78" t="s">
        <v>15</v>
      </c>
      <c r="G92" s="78" t="s">
        <v>227</v>
      </c>
      <c r="H92" s="81" t="s">
        <v>215</v>
      </c>
      <c r="I92" s="78" t="s">
        <v>425</v>
      </c>
      <c r="J92" s="78" t="s">
        <v>225</v>
      </c>
      <c r="K92" s="83">
        <v>2024</v>
      </c>
      <c r="L92" s="83" t="s">
        <v>182</v>
      </c>
      <c r="M92" s="83" t="s">
        <v>259</v>
      </c>
      <c r="N92" s="78" t="s">
        <v>354</v>
      </c>
      <c r="O92"/>
    </row>
    <row r="94" spans="1:15">
      <c r="C94" s="1" t="s">
        <v>351</v>
      </c>
      <c r="D94" s="1">
        <f>COUNTIF($D$2:$D$92,C94)</f>
        <v>69</v>
      </c>
      <c r="E94" s="1" t="s">
        <v>349</v>
      </c>
      <c r="F94" s="1">
        <f>COUNTIF($F$2:$F$92,E94)</f>
        <v>57</v>
      </c>
      <c r="H94" s="3" t="s">
        <v>221</v>
      </c>
      <c r="I94" s="1">
        <f>COUNTIF($I$2:$I$92,H94)</f>
        <v>10</v>
      </c>
      <c r="M94" s="5" t="s">
        <v>361</v>
      </c>
      <c r="N94" s="1">
        <f>COUNTIF($N$2:$N$92,M94)</f>
        <v>77</v>
      </c>
    </row>
    <row r="95" spans="1:15">
      <c r="C95" s="1" t="s">
        <v>352</v>
      </c>
      <c r="D95" s="1">
        <f>COUNTIF($D$2:$D$92,C95)</f>
        <v>22</v>
      </c>
      <c r="E95" s="1" t="s">
        <v>348</v>
      </c>
      <c r="F95" s="1">
        <f>COUNTIF($F$2:$F$92,E95)</f>
        <v>29</v>
      </c>
      <c r="H95" s="3" t="s">
        <v>205</v>
      </c>
      <c r="I95" s="1">
        <f t="shared" ref="I95:I109" si="0">COUNTIF($I$2:$I$92,H95)</f>
        <v>21</v>
      </c>
      <c r="M95" s="5" t="s">
        <v>360</v>
      </c>
      <c r="N95" s="1">
        <f>COUNTIF($N$2:$N$92,M95)</f>
        <v>14</v>
      </c>
    </row>
    <row r="96" spans="1:15">
      <c r="E96" s="1" t="s">
        <v>350</v>
      </c>
      <c r="F96" s="1">
        <f>COUNTIF($F$2:$F$92,E96)</f>
        <v>5</v>
      </c>
      <c r="H96" s="3" t="s">
        <v>218</v>
      </c>
      <c r="I96" s="1">
        <f t="shared" si="0"/>
        <v>4</v>
      </c>
    </row>
    <row r="97" spans="8:9">
      <c r="H97" s="3" t="s">
        <v>404</v>
      </c>
      <c r="I97" s="1">
        <f t="shared" si="0"/>
        <v>3</v>
      </c>
    </row>
    <row r="98" spans="8:9">
      <c r="H98" s="3" t="s">
        <v>313</v>
      </c>
      <c r="I98" s="1">
        <f t="shared" si="0"/>
        <v>6</v>
      </c>
    </row>
    <row r="99" spans="8:9">
      <c r="H99" s="3" t="s">
        <v>222</v>
      </c>
      <c r="I99" s="1">
        <f t="shared" si="0"/>
        <v>22</v>
      </c>
    </row>
    <row r="100" spans="8:9">
      <c r="H100" s="3" t="s">
        <v>220</v>
      </c>
      <c r="I100" s="1">
        <f t="shared" si="0"/>
        <v>3</v>
      </c>
    </row>
    <row r="101" spans="8:9">
      <c r="H101" s="3" t="s">
        <v>391</v>
      </c>
      <c r="I101" s="1">
        <f t="shared" si="0"/>
        <v>3</v>
      </c>
    </row>
    <row r="102" spans="8:9">
      <c r="H102" s="3" t="s">
        <v>209</v>
      </c>
      <c r="I102" s="1">
        <f t="shared" si="0"/>
        <v>5</v>
      </c>
    </row>
    <row r="103" spans="8:9">
      <c r="H103" s="3" t="s">
        <v>397</v>
      </c>
      <c r="I103" s="1">
        <f t="shared" si="0"/>
        <v>4</v>
      </c>
    </row>
    <row r="104" spans="8:9">
      <c r="H104" s="3" t="s">
        <v>393</v>
      </c>
      <c r="I104" s="1">
        <f t="shared" si="0"/>
        <v>5</v>
      </c>
    </row>
    <row r="105" spans="8:9">
      <c r="H105" s="3" t="s">
        <v>395</v>
      </c>
      <c r="I105" s="1">
        <f t="shared" si="0"/>
        <v>1</v>
      </c>
    </row>
    <row r="106" spans="8:9">
      <c r="H106" s="3" t="s">
        <v>401</v>
      </c>
      <c r="I106" s="1">
        <f t="shared" si="0"/>
        <v>1</v>
      </c>
    </row>
    <row r="107" spans="8:9">
      <c r="H107" s="3" t="s">
        <v>386</v>
      </c>
      <c r="I107" s="1">
        <f t="shared" si="0"/>
        <v>1</v>
      </c>
    </row>
    <row r="108" spans="8:9">
      <c r="H108" s="3" t="s">
        <v>384</v>
      </c>
      <c r="I108" s="1">
        <f t="shared" si="0"/>
        <v>1</v>
      </c>
    </row>
    <row r="109" spans="8:9">
      <c r="H109" s="3" t="s">
        <v>389</v>
      </c>
      <c r="I109" s="1">
        <f t="shared" si="0"/>
        <v>1</v>
      </c>
    </row>
  </sheetData>
  <autoFilter ref="A1:N92" xr:uid="{00000000-0009-0000-0000-000000000000}">
    <sortState xmlns:xlrd2="http://schemas.microsoft.com/office/spreadsheetml/2017/richdata2" ref="A2:N92">
      <sortCondition ref="B2:B92"/>
    </sortState>
  </autoFilter>
  <phoneticPr fontId="15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BA5F-7EFB-435F-8F9A-15D8BFA50595}">
  <dimension ref="A1"/>
  <sheetViews>
    <sheetView workbookViewId="0"/>
  </sheetViews>
  <sheetFormatPr baseColWidth="10" defaultColWidth="8.7265625" defaultRowHeight="14.5"/>
  <sheetData/>
  <phoneticPr fontId="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369D-23DA-4DD6-BD21-E083EA6B95BB}">
  <sheetPr>
    <pageSetUpPr fitToPage="1"/>
  </sheetPr>
  <dimension ref="A1:G95"/>
  <sheetViews>
    <sheetView zoomScaleNormal="100" workbookViewId="0">
      <selection activeCell="A2" sqref="A2"/>
    </sheetView>
  </sheetViews>
  <sheetFormatPr baseColWidth="10" defaultColWidth="8.90625" defaultRowHeight="14"/>
  <cols>
    <col min="1" max="1" width="20.81640625" style="96" customWidth="1"/>
    <col min="2" max="3" width="20.81640625" style="96" hidden="1" customWidth="1"/>
    <col min="4" max="4" width="20.81640625" style="96" customWidth="1"/>
    <col min="5" max="5" width="20.81640625" style="96" hidden="1" customWidth="1"/>
    <col min="6" max="7" width="24.81640625" style="96" customWidth="1"/>
    <col min="8" max="16384" width="8.90625" style="96"/>
  </cols>
  <sheetData>
    <row r="1" spans="1:7">
      <c r="A1" s="137" t="s">
        <v>438</v>
      </c>
      <c r="B1" s="138"/>
      <c r="C1" s="138"/>
      <c r="D1" s="138"/>
      <c r="E1" s="138"/>
      <c r="F1" s="138"/>
      <c r="G1" s="138"/>
    </row>
    <row r="2" spans="1:7">
      <c r="A2" s="97" t="s">
        <v>332</v>
      </c>
      <c r="B2" s="97"/>
      <c r="C2" s="97"/>
    </row>
    <row r="3" spans="1:7">
      <c r="A3" s="98" t="s">
        <v>332</v>
      </c>
      <c r="B3" s="98"/>
      <c r="C3" s="98"/>
      <c r="D3" s="98" t="s">
        <v>333</v>
      </c>
      <c r="E3" s="106"/>
    </row>
    <row r="4" spans="1:7">
      <c r="A4" s="99" t="s">
        <v>337</v>
      </c>
      <c r="B4" s="99"/>
      <c r="C4" s="99"/>
      <c r="D4" s="99">
        <f>COUNTIF('Raw Data'!$D$2:$D$92,Analysis!A4)</f>
        <v>69</v>
      </c>
    </row>
    <row r="5" spans="1:7">
      <c r="A5" s="99" t="s">
        <v>338</v>
      </c>
      <c r="B5" s="99"/>
      <c r="C5" s="99"/>
      <c r="D5" s="99">
        <f>COUNTIF('Raw Data'!$D$2:$D$92,Analysis!A5)</f>
        <v>22</v>
      </c>
    </row>
    <row r="6" spans="1:7">
      <c r="A6" s="98" t="s">
        <v>339</v>
      </c>
      <c r="B6" s="98"/>
      <c r="C6" s="98"/>
      <c r="D6" s="99">
        <f>SUM(D4:D5)</f>
        <v>91</v>
      </c>
    </row>
    <row r="8" spans="1:7">
      <c r="A8" s="97" t="s">
        <v>340</v>
      </c>
      <c r="B8" s="97"/>
      <c r="C8" s="97"/>
    </row>
    <row r="9" spans="1:7">
      <c r="A9" s="98" t="s">
        <v>340</v>
      </c>
      <c r="B9" s="98"/>
      <c r="C9" s="98"/>
      <c r="D9" s="98" t="s">
        <v>332</v>
      </c>
      <c r="E9" s="98"/>
      <c r="F9" s="98" t="s">
        <v>345</v>
      </c>
      <c r="G9" s="98" t="s">
        <v>366</v>
      </c>
    </row>
    <row r="10" spans="1:7">
      <c r="A10" s="99" t="s">
        <v>341</v>
      </c>
      <c r="B10" s="99"/>
      <c r="C10" s="99"/>
      <c r="D10" s="99" t="s">
        <v>337</v>
      </c>
      <c r="E10" s="99"/>
      <c r="F10" s="99">
        <f>COUNTIFS('Raw Data'!$F$2:$F$92,Analysis!A10,'Raw Data'!$D$2:$D$92,Analysis!D10)</f>
        <v>42</v>
      </c>
      <c r="G10" s="107">
        <f>ROUND(F10/$D$4,2)</f>
        <v>0.61</v>
      </c>
    </row>
    <row r="11" spans="1:7">
      <c r="A11" s="99" t="s">
        <v>341</v>
      </c>
      <c r="B11" s="99"/>
      <c r="C11" s="99"/>
      <c r="D11" s="99" t="s">
        <v>338</v>
      </c>
      <c r="E11" s="99"/>
      <c r="F11" s="99">
        <f>COUNTIFS('Raw Data'!$F$2:$F$92,Analysis!A11,'Raw Data'!$D$2:$D$92,Analysis!D11)</f>
        <v>15</v>
      </c>
      <c r="G11" s="107">
        <f>ROUND(F11/$D$5,2)</f>
        <v>0.68</v>
      </c>
    </row>
    <row r="12" spans="1:7">
      <c r="A12" s="101" t="s">
        <v>347</v>
      </c>
      <c r="B12" s="101"/>
      <c r="C12" s="101"/>
      <c r="D12" s="102"/>
      <c r="E12" s="102"/>
      <c r="F12" s="99">
        <f>SUM(F10:F11)</f>
        <v>57</v>
      </c>
      <c r="G12" s="100" t="s">
        <v>364</v>
      </c>
    </row>
    <row r="13" spans="1:7">
      <c r="A13" s="99" t="s">
        <v>342</v>
      </c>
      <c r="B13" s="99"/>
      <c r="C13" s="99"/>
      <c r="D13" s="99" t="s">
        <v>337</v>
      </c>
      <c r="E13" s="99"/>
      <c r="F13" s="99">
        <f>COUNTIFS('Raw Data'!$F$2:$F$92,Analysis!A13,'Raw Data'!$D$2:$D$92,Analysis!D13)</f>
        <v>25</v>
      </c>
      <c r="G13" s="107">
        <f>ROUND(F13/$D$4,2)</f>
        <v>0.36</v>
      </c>
    </row>
    <row r="14" spans="1:7">
      <c r="A14" s="99" t="s">
        <v>342</v>
      </c>
      <c r="B14" s="99"/>
      <c r="C14" s="99"/>
      <c r="D14" s="99" t="s">
        <v>338</v>
      </c>
      <c r="E14" s="99"/>
      <c r="F14" s="99">
        <f>COUNTIFS('Raw Data'!$F$2:$F$92,Analysis!A14,'Raw Data'!$D$2:$D$92,Analysis!D14)</f>
        <v>4</v>
      </c>
      <c r="G14" s="107">
        <f>ROUND(F14/$D$5,2)</f>
        <v>0.18</v>
      </c>
    </row>
    <row r="15" spans="1:7">
      <c r="A15" s="101" t="s">
        <v>347</v>
      </c>
      <c r="B15" s="101"/>
      <c r="C15" s="101"/>
      <c r="D15" s="102"/>
      <c r="E15" s="102"/>
      <c r="F15" s="99">
        <f>SUM(F13:F14)</f>
        <v>29</v>
      </c>
      <c r="G15" s="100" t="s">
        <v>364</v>
      </c>
    </row>
    <row r="16" spans="1:7">
      <c r="A16" s="99" t="s">
        <v>344</v>
      </c>
      <c r="B16" s="99"/>
      <c r="C16" s="99"/>
      <c r="D16" s="99" t="s">
        <v>337</v>
      </c>
      <c r="E16" s="99"/>
      <c r="F16" s="99">
        <f>COUNTIFS('Raw Data'!$F$2:$F$92,Analysis!A16,'Raw Data'!$D$2:$D$92,Analysis!D16)</f>
        <v>2</v>
      </c>
      <c r="G16" s="107">
        <f>ROUND(F16/$D$4,2)</f>
        <v>0.03</v>
      </c>
    </row>
    <row r="17" spans="1:7">
      <c r="A17" s="99" t="s">
        <v>344</v>
      </c>
      <c r="B17" s="99"/>
      <c r="C17" s="99"/>
      <c r="D17" s="99" t="s">
        <v>338</v>
      </c>
      <c r="E17" s="99"/>
      <c r="F17" s="99">
        <f>COUNTIFS('Raw Data'!$F$2:$F$92,Analysis!A17,'Raw Data'!$D$2:$D$92,Analysis!D17)</f>
        <v>3</v>
      </c>
      <c r="G17" s="107">
        <f>ROUND(F17/$D$5,2)</f>
        <v>0.14000000000000001</v>
      </c>
    </row>
    <row r="18" spans="1:7">
      <c r="A18" s="101" t="s">
        <v>347</v>
      </c>
      <c r="B18" s="101"/>
      <c r="C18" s="101"/>
      <c r="D18" s="102"/>
      <c r="E18" s="102"/>
      <c r="F18" s="99">
        <f>SUM(F16:F17)</f>
        <v>5</v>
      </c>
      <c r="G18" s="100" t="s">
        <v>364</v>
      </c>
    </row>
    <row r="19" spans="1:7">
      <c r="A19" s="103" t="s">
        <v>339</v>
      </c>
      <c r="B19" s="103"/>
      <c r="C19" s="103"/>
      <c r="D19" s="103"/>
      <c r="E19" s="103"/>
      <c r="F19" s="104">
        <f>SUMIF(A10:A18,"Sub-total",F10:F18)</f>
        <v>91</v>
      </c>
      <c r="G19" s="100" t="s">
        <v>364</v>
      </c>
    </row>
    <row r="21" spans="1:7">
      <c r="A21" s="97" t="s">
        <v>358</v>
      </c>
    </row>
    <row r="22" spans="1:7" ht="28">
      <c r="A22" s="122" t="s">
        <v>353</v>
      </c>
      <c r="B22" s="122"/>
      <c r="C22" s="122"/>
      <c r="D22" s="122" t="s">
        <v>332</v>
      </c>
      <c r="E22" s="122"/>
      <c r="F22" s="123" t="s">
        <v>429</v>
      </c>
      <c r="G22" s="122" t="s">
        <v>363</v>
      </c>
    </row>
    <row r="23" spans="1:7">
      <c r="A23" s="99" t="s">
        <v>355</v>
      </c>
      <c r="B23" s="99"/>
      <c r="C23" s="99"/>
      <c r="D23" s="99" t="s">
        <v>337</v>
      </c>
      <c r="E23" s="99"/>
      <c r="F23" s="99">
        <f>COUNTIFS('Raw Data'!$N$2:$N$92,Analysis!A23,'Raw Data'!$D$2:$D$92,Analysis!D23)</f>
        <v>58</v>
      </c>
      <c r="G23" s="107">
        <f>ROUND(F23/$D$4,2)</f>
        <v>0.84</v>
      </c>
    </row>
    <row r="24" spans="1:7">
      <c r="A24" s="99" t="s">
        <v>355</v>
      </c>
      <c r="B24" s="99"/>
      <c r="C24" s="99"/>
      <c r="D24" s="99" t="s">
        <v>338</v>
      </c>
      <c r="E24" s="99"/>
      <c r="F24" s="99">
        <f>COUNTIFS('Raw Data'!$N$2:$N$92,Analysis!A24,'Raw Data'!$D$2:$D$92,Analysis!D24)</f>
        <v>19</v>
      </c>
      <c r="G24" s="107">
        <f>ROUND(F24/$D$5,2)</f>
        <v>0.86</v>
      </c>
    </row>
    <row r="25" spans="1:7">
      <c r="A25" s="101" t="s">
        <v>347</v>
      </c>
      <c r="B25" s="101"/>
      <c r="C25" s="101"/>
      <c r="D25" s="102"/>
      <c r="E25" s="102"/>
      <c r="F25" s="99">
        <f>SUM(F23:F24)</f>
        <v>77</v>
      </c>
      <c r="G25" s="100" t="s">
        <v>364</v>
      </c>
    </row>
    <row r="26" spans="1:7">
      <c r="A26" s="99" t="s">
        <v>357</v>
      </c>
      <c r="B26" s="99"/>
      <c r="C26" s="99"/>
      <c r="D26" s="99" t="s">
        <v>337</v>
      </c>
      <c r="E26" s="99"/>
      <c r="F26" s="99">
        <f>COUNTIFS('Raw Data'!$N$2:$N$92,Analysis!A26,'Raw Data'!$D$2:$D$92,Analysis!D26)</f>
        <v>11</v>
      </c>
      <c r="G26" s="107">
        <f>ROUND(F26/$D$4,2)</f>
        <v>0.16</v>
      </c>
    </row>
    <row r="27" spans="1:7">
      <c r="A27" s="99" t="s">
        <v>357</v>
      </c>
      <c r="B27" s="99"/>
      <c r="C27" s="99"/>
      <c r="D27" s="99" t="s">
        <v>338</v>
      </c>
      <c r="E27" s="99"/>
      <c r="F27" s="99">
        <f>COUNTIFS('Raw Data'!$N$2:$N$92,Analysis!A27,'Raw Data'!$D$2:$D$92,Analysis!D27)</f>
        <v>3</v>
      </c>
      <c r="G27" s="107">
        <f>ROUND(F27/$D$5,2)</f>
        <v>0.14000000000000001</v>
      </c>
    </row>
    <row r="28" spans="1:7">
      <c r="A28" s="101" t="s">
        <v>347</v>
      </c>
      <c r="B28" s="101"/>
      <c r="C28" s="101"/>
      <c r="D28" s="102"/>
      <c r="E28" s="102"/>
      <c r="F28" s="99">
        <f>SUM(F26:F27)</f>
        <v>14</v>
      </c>
      <c r="G28" s="100" t="s">
        <v>364</v>
      </c>
    </row>
    <row r="29" spans="1:7">
      <c r="A29" s="101" t="s">
        <v>339</v>
      </c>
      <c r="B29" s="101"/>
      <c r="C29" s="101"/>
      <c r="D29" s="101"/>
      <c r="E29" s="101"/>
      <c r="F29" s="99">
        <f>SUMIF(A20:A28,"Sub-total",F20:F28)</f>
        <v>91</v>
      </c>
      <c r="G29" s="100" t="s">
        <v>364</v>
      </c>
    </row>
    <row r="31" spans="1:7">
      <c r="A31" s="97" t="s">
        <v>362</v>
      </c>
      <c r="B31" s="97"/>
      <c r="C31" s="97"/>
    </row>
    <row r="32" spans="1:7" ht="28">
      <c r="A32" s="122" t="s">
        <v>340</v>
      </c>
      <c r="B32" s="122"/>
      <c r="C32" s="122"/>
      <c r="D32" s="122" t="s">
        <v>353</v>
      </c>
      <c r="E32" s="122" t="s">
        <v>332</v>
      </c>
      <c r="F32" s="123" t="s">
        <v>429</v>
      </c>
      <c r="G32" s="122" t="s">
        <v>363</v>
      </c>
    </row>
    <row r="33" spans="1:7">
      <c r="A33" s="99" t="s">
        <v>341</v>
      </c>
      <c r="B33" s="99"/>
      <c r="C33" s="99"/>
      <c r="D33" s="99" t="s">
        <v>355</v>
      </c>
      <c r="E33" s="99" t="s">
        <v>337</v>
      </c>
      <c r="F33" s="99">
        <f>COUNTIFS('Raw Data'!$F$2:$F$92,Analysis!A33,'Raw Data'!$N$2:$N$92,Analysis!D33,'Raw Data'!$D$2:$D$92,Analysis!E33)</f>
        <v>33</v>
      </c>
      <c r="G33" s="107">
        <f>ROUND(F33/$F$35,2)</f>
        <v>0.79</v>
      </c>
    </row>
    <row r="34" spans="1:7">
      <c r="A34" s="99" t="s">
        <v>341</v>
      </c>
      <c r="B34" s="99"/>
      <c r="C34" s="99"/>
      <c r="D34" s="99" t="s">
        <v>357</v>
      </c>
      <c r="E34" s="99" t="s">
        <v>337</v>
      </c>
      <c r="F34" s="99">
        <f>COUNTIFS('Raw Data'!$F$2:$F$92,Analysis!A34,'Raw Data'!$N$2:$N$92,Analysis!D34,'Raw Data'!$D$2:$D$92,Analysis!E34)</f>
        <v>9</v>
      </c>
      <c r="G34" s="107">
        <f>ROUND(F34/$F$35,2)</f>
        <v>0.21</v>
      </c>
    </row>
    <row r="35" spans="1:7">
      <c r="A35" s="101" t="s">
        <v>347</v>
      </c>
      <c r="B35" s="101"/>
      <c r="C35" s="101"/>
      <c r="D35" s="102"/>
      <c r="E35" s="102"/>
      <c r="F35" s="99">
        <f>SUM(F33:F34)</f>
        <v>42</v>
      </c>
      <c r="G35" s="100" t="s">
        <v>364</v>
      </c>
    </row>
    <row r="36" spans="1:7">
      <c r="A36" s="99" t="s">
        <v>342</v>
      </c>
      <c r="B36" s="99"/>
      <c r="C36" s="99"/>
      <c r="D36" s="99" t="s">
        <v>355</v>
      </c>
      <c r="E36" s="99" t="s">
        <v>337</v>
      </c>
      <c r="F36" s="99">
        <f>COUNTIFS('Raw Data'!$F$2:$F$92,Analysis!A36,'Raw Data'!$N$2:$N$92,Analysis!D36,'Raw Data'!$D$2:$D$92,Analysis!E36)</f>
        <v>23</v>
      </c>
      <c r="G36" s="107">
        <f>ROUND(F36/$F$38,2)</f>
        <v>0.92</v>
      </c>
    </row>
    <row r="37" spans="1:7">
      <c r="A37" s="99" t="s">
        <v>342</v>
      </c>
      <c r="B37" s="99"/>
      <c r="C37" s="99"/>
      <c r="D37" s="99" t="s">
        <v>357</v>
      </c>
      <c r="E37" s="99" t="s">
        <v>337</v>
      </c>
      <c r="F37" s="99">
        <f>COUNTIFS('Raw Data'!$F$2:$F$92,Analysis!A37,'Raw Data'!$N$2:$N$92,Analysis!D37,'Raw Data'!$D$2:$D$92,Analysis!E37)</f>
        <v>2</v>
      </c>
      <c r="G37" s="107">
        <f>ROUND(F37/$F$38,2)</f>
        <v>0.08</v>
      </c>
    </row>
    <row r="38" spans="1:7">
      <c r="A38" s="101" t="s">
        <v>347</v>
      </c>
      <c r="B38" s="101"/>
      <c r="C38" s="101"/>
      <c r="D38" s="102"/>
      <c r="E38" s="102"/>
      <c r="F38" s="99">
        <f>SUM(F36:F37)</f>
        <v>25</v>
      </c>
      <c r="G38" s="100" t="s">
        <v>364</v>
      </c>
    </row>
    <row r="39" spans="1:7">
      <c r="A39" s="99" t="s">
        <v>344</v>
      </c>
      <c r="B39" s="99"/>
      <c r="C39" s="99"/>
      <c r="D39" s="99" t="s">
        <v>355</v>
      </c>
      <c r="E39" s="99" t="s">
        <v>337</v>
      </c>
      <c r="F39" s="99">
        <f>COUNTIFS('Raw Data'!$F$2:$F$92,Analysis!A39,'Raw Data'!$N$2:$N$92,Analysis!D39,'Raw Data'!$D$2:$D$92,Analysis!E39)</f>
        <v>2</v>
      </c>
      <c r="G39" s="107">
        <f>ROUND(F39/$F$41,2)</f>
        <v>1</v>
      </c>
    </row>
    <row r="40" spans="1:7">
      <c r="A40" s="99" t="s">
        <v>344</v>
      </c>
      <c r="B40" s="99"/>
      <c r="C40" s="99"/>
      <c r="D40" s="99" t="s">
        <v>357</v>
      </c>
      <c r="E40" s="99" t="s">
        <v>337</v>
      </c>
      <c r="F40" s="99">
        <f>COUNTIFS('Raw Data'!$F$2:$F$92,Analysis!A40,'Raw Data'!$N$2:$N$92,Analysis!D40,'Raw Data'!$D$2:$D$92,Analysis!E40)</f>
        <v>0</v>
      </c>
      <c r="G40" s="107">
        <f>ROUND(F40/$F$41,2)</f>
        <v>0</v>
      </c>
    </row>
    <row r="41" spans="1:7">
      <c r="A41" s="101" t="s">
        <v>347</v>
      </c>
      <c r="B41" s="101"/>
      <c r="C41" s="101"/>
      <c r="D41" s="102"/>
      <c r="E41" s="102"/>
      <c r="F41" s="99">
        <f>SUM(F39:F40)</f>
        <v>2</v>
      </c>
      <c r="G41" s="100" t="s">
        <v>364</v>
      </c>
    </row>
    <row r="43" spans="1:7">
      <c r="A43" s="97" t="s">
        <v>365</v>
      </c>
      <c r="B43" s="97"/>
      <c r="C43" s="97"/>
    </row>
    <row r="44" spans="1:7" ht="28">
      <c r="A44" s="122" t="s">
        <v>340</v>
      </c>
      <c r="B44" s="122"/>
      <c r="C44" s="122"/>
      <c r="D44" s="122" t="s">
        <v>353</v>
      </c>
      <c r="E44" s="122" t="s">
        <v>332</v>
      </c>
      <c r="F44" s="123" t="s">
        <v>429</v>
      </c>
      <c r="G44" s="122" t="s">
        <v>363</v>
      </c>
    </row>
    <row r="45" spans="1:7">
      <c r="A45" s="99" t="s">
        <v>341</v>
      </c>
      <c r="B45" s="99"/>
      <c r="C45" s="99"/>
      <c r="D45" s="99" t="s">
        <v>355</v>
      </c>
      <c r="E45" s="99" t="s">
        <v>338</v>
      </c>
      <c r="F45" s="99">
        <f>COUNTIFS('Raw Data'!$F$2:$F$92,Analysis!A45,'Raw Data'!$N$2:$N$92,Analysis!D45,'Raw Data'!$D$2:$D$92,Analysis!E45)</f>
        <v>13</v>
      </c>
      <c r="G45" s="107">
        <f>ROUND(F45/$F$47,2)</f>
        <v>0.87</v>
      </c>
    </row>
    <row r="46" spans="1:7">
      <c r="A46" s="99" t="s">
        <v>341</v>
      </c>
      <c r="B46" s="99"/>
      <c r="C46" s="99"/>
      <c r="D46" s="99" t="s">
        <v>357</v>
      </c>
      <c r="E46" s="99" t="s">
        <v>338</v>
      </c>
      <c r="F46" s="99">
        <f>COUNTIFS('Raw Data'!$F$2:$F$92,Analysis!A46,'Raw Data'!$N$2:$N$92,Analysis!D46,'Raw Data'!$D$2:$D$92,Analysis!E46)</f>
        <v>2</v>
      </c>
      <c r="G46" s="107">
        <f>ROUND(F46/$F$47,2)</f>
        <v>0.13</v>
      </c>
    </row>
    <row r="47" spans="1:7">
      <c r="A47" s="101" t="s">
        <v>347</v>
      </c>
      <c r="B47" s="101"/>
      <c r="C47" s="101"/>
      <c r="D47" s="102"/>
      <c r="E47" s="102"/>
      <c r="F47" s="99">
        <f>SUM(F45:F46)</f>
        <v>15</v>
      </c>
      <c r="G47" s="100" t="s">
        <v>364</v>
      </c>
    </row>
    <row r="48" spans="1:7">
      <c r="A48" s="99" t="s">
        <v>342</v>
      </c>
      <c r="B48" s="99"/>
      <c r="C48" s="99"/>
      <c r="D48" s="99" t="s">
        <v>355</v>
      </c>
      <c r="E48" s="99" t="s">
        <v>338</v>
      </c>
      <c r="F48" s="99">
        <f>COUNTIFS('Raw Data'!$F$2:$F$92,Analysis!A48,'Raw Data'!$N$2:$N$92,Analysis!D48,'Raw Data'!$D$2:$D$92,Analysis!E48)</f>
        <v>3</v>
      </c>
      <c r="G48" s="107">
        <f>ROUND(F48/$F$50,2)</f>
        <v>0.75</v>
      </c>
    </row>
    <row r="49" spans="1:7">
      <c r="A49" s="99" t="s">
        <v>342</v>
      </c>
      <c r="B49" s="99"/>
      <c r="C49" s="99"/>
      <c r="D49" s="99" t="s">
        <v>357</v>
      </c>
      <c r="E49" s="99" t="s">
        <v>338</v>
      </c>
      <c r="F49" s="99">
        <f>COUNTIFS('Raw Data'!$F$2:$F$92,Analysis!A49,'Raw Data'!$N$2:$N$92,Analysis!D49,'Raw Data'!$D$2:$D$92,Analysis!E49)</f>
        <v>1</v>
      </c>
      <c r="G49" s="107">
        <f>ROUND(F49/$F$50,2)</f>
        <v>0.25</v>
      </c>
    </row>
    <row r="50" spans="1:7">
      <c r="A50" s="101" t="s">
        <v>347</v>
      </c>
      <c r="B50" s="101"/>
      <c r="C50" s="101"/>
      <c r="D50" s="102"/>
      <c r="E50" s="102"/>
      <c r="F50" s="99">
        <f>SUM(F48:F49)</f>
        <v>4</v>
      </c>
      <c r="G50" s="100" t="s">
        <v>364</v>
      </c>
    </row>
    <row r="51" spans="1:7">
      <c r="A51" s="99" t="s">
        <v>344</v>
      </c>
      <c r="B51" s="99"/>
      <c r="C51" s="99"/>
      <c r="D51" s="99" t="s">
        <v>355</v>
      </c>
      <c r="E51" s="99" t="s">
        <v>338</v>
      </c>
      <c r="F51" s="99">
        <f>COUNTIFS('Raw Data'!$F$2:$F$92,Analysis!A51,'Raw Data'!$N$2:$N$92,Analysis!D51,'Raw Data'!$D$2:$D$92,Analysis!E51)</f>
        <v>3</v>
      </c>
      <c r="G51" s="107">
        <f>ROUND(F51/$F$53,2)</f>
        <v>1</v>
      </c>
    </row>
    <row r="52" spans="1:7">
      <c r="A52" s="99" t="s">
        <v>344</v>
      </c>
      <c r="B52" s="99"/>
      <c r="C52" s="99"/>
      <c r="D52" s="99" t="s">
        <v>357</v>
      </c>
      <c r="E52" s="99" t="s">
        <v>338</v>
      </c>
      <c r="F52" s="99">
        <f>COUNTIFS('Raw Data'!$F$2:$F$92,Analysis!A52,'Raw Data'!$N$2:$N$92,Analysis!D52,'Raw Data'!$D$2:$D$92,Analysis!E52)</f>
        <v>0</v>
      </c>
      <c r="G52" s="107">
        <f>ROUND(F52/$F$53,2)</f>
        <v>0</v>
      </c>
    </row>
    <row r="53" spans="1:7">
      <c r="A53" s="101" t="s">
        <v>347</v>
      </c>
      <c r="B53" s="101"/>
      <c r="C53" s="101"/>
      <c r="D53" s="102"/>
      <c r="E53" s="102"/>
      <c r="F53" s="99">
        <f>SUM(F51:F52)</f>
        <v>3</v>
      </c>
      <c r="G53" s="100" t="s">
        <v>364</v>
      </c>
    </row>
    <row r="55" spans="1:7">
      <c r="A55" s="97" t="s">
        <v>367</v>
      </c>
      <c r="B55" s="97"/>
      <c r="C55" s="97"/>
    </row>
    <row r="56" spans="1:7">
      <c r="A56" s="98" t="s">
        <v>369</v>
      </c>
      <c r="B56" s="98" t="s">
        <v>380</v>
      </c>
      <c r="C56" s="98"/>
      <c r="D56" s="98" t="s">
        <v>333</v>
      </c>
    </row>
    <row r="57" spans="1:7">
      <c r="A57" s="99" t="s">
        <v>368</v>
      </c>
      <c r="B57" s="100" t="s">
        <v>381</v>
      </c>
      <c r="C57" s="99"/>
      <c r="D57" s="99">
        <f>COUNTIF('Raw Data'!$K$2:$K$92,"&lt;2018")</f>
        <v>36</v>
      </c>
    </row>
    <row r="58" spans="1:7">
      <c r="A58" s="99" t="s">
        <v>370</v>
      </c>
      <c r="B58" s="100">
        <v>2018</v>
      </c>
      <c r="C58" s="99"/>
      <c r="D58" s="99">
        <f>COUNTIF('Raw Data'!$K$2:$K$92,B58)</f>
        <v>15</v>
      </c>
    </row>
    <row r="59" spans="1:7">
      <c r="A59" s="99" t="s">
        <v>371</v>
      </c>
      <c r="B59" s="100">
        <v>2019</v>
      </c>
      <c r="C59" s="99"/>
      <c r="D59" s="99">
        <f>COUNTIF('Raw Data'!$K$2:$K$92,B59)</f>
        <v>6</v>
      </c>
    </row>
    <row r="60" spans="1:7">
      <c r="A60" s="99" t="s">
        <v>372</v>
      </c>
      <c r="B60" s="100">
        <v>2020</v>
      </c>
      <c r="C60" s="99"/>
      <c r="D60" s="99">
        <f>COUNTIF('Raw Data'!$K$2:$K$92,B60)</f>
        <v>0</v>
      </c>
    </row>
    <row r="61" spans="1:7">
      <c r="A61" s="99" t="s">
        <v>373</v>
      </c>
      <c r="B61" s="100">
        <v>2021</v>
      </c>
      <c r="C61" s="99"/>
      <c r="D61" s="99">
        <f>COUNTIF('Raw Data'!$K$2:$K$92,B61)</f>
        <v>2</v>
      </c>
    </row>
    <row r="62" spans="1:7">
      <c r="A62" s="99" t="s">
        <v>374</v>
      </c>
      <c r="B62" s="100">
        <v>2022</v>
      </c>
      <c r="C62" s="99"/>
      <c r="D62" s="99">
        <f>COUNTIF('Raw Data'!$K$2:$K$92,B62)</f>
        <v>0</v>
      </c>
    </row>
    <row r="63" spans="1:7">
      <c r="A63" s="99" t="s">
        <v>375</v>
      </c>
      <c r="B63" s="100">
        <v>2023</v>
      </c>
      <c r="C63" s="99"/>
      <c r="D63" s="99">
        <f>COUNTIF('Raw Data'!$K$2:$K$92,B63)</f>
        <v>0</v>
      </c>
    </row>
    <row r="64" spans="1:7">
      <c r="A64" s="99" t="s">
        <v>376</v>
      </c>
      <c r="B64" s="100">
        <v>2024</v>
      </c>
      <c r="C64" s="99"/>
      <c r="D64" s="99">
        <f>COUNTIF('Raw Data'!$K$2:$K$92,B64)</f>
        <v>30</v>
      </c>
    </row>
    <row r="65" spans="1:4">
      <c r="A65" s="99" t="s">
        <v>377</v>
      </c>
      <c r="B65" s="100">
        <v>2025</v>
      </c>
      <c r="C65" s="99"/>
      <c r="D65" s="99">
        <f>COUNTIF('Raw Data'!$K$2:$K$92,B65)</f>
        <v>1</v>
      </c>
    </row>
    <row r="66" spans="1:4">
      <c r="A66" s="99" t="s">
        <v>378</v>
      </c>
      <c r="B66" s="100" t="s">
        <v>378</v>
      </c>
      <c r="C66" s="99"/>
      <c r="D66" s="99">
        <f>COUNTIF('Raw Data'!$K$2:$K$92,B66)</f>
        <v>1</v>
      </c>
    </row>
    <row r="67" spans="1:4">
      <c r="A67" s="98" t="s">
        <v>339</v>
      </c>
      <c r="B67" s="98"/>
      <c r="C67" s="98"/>
      <c r="D67" s="99">
        <f>SUM(D57:D66)</f>
        <v>91</v>
      </c>
    </row>
    <row r="69" spans="1:4">
      <c r="A69" s="97" t="s">
        <v>379</v>
      </c>
      <c r="B69" s="97"/>
      <c r="C69" s="97"/>
    </row>
    <row r="70" spans="1:4">
      <c r="A70" s="98" t="s">
        <v>369</v>
      </c>
      <c r="B70" s="98" t="s">
        <v>380</v>
      </c>
      <c r="C70" s="98" t="s">
        <v>332</v>
      </c>
      <c r="D70" s="98" t="s">
        <v>333</v>
      </c>
    </row>
    <row r="71" spans="1:4">
      <c r="A71" s="99" t="s">
        <v>368</v>
      </c>
      <c r="B71" s="100" t="s">
        <v>381</v>
      </c>
      <c r="C71" s="99" t="s">
        <v>337</v>
      </c>
      <c r="D71" s="99">
        <f>COUNTIFS('Raw Data'!$K$2:$K$92,"&lt;2018",'Raw Data'!$D$2:$D$92,Analysis!C71)</f>
        <v>33</v>
      </c>
    </row>
    <row r="72" spans="1:4">
      <c r="A72" s="99" t="s">
        <v>370</v>
      </c>
      <c r="B72" s="100">
        <v>2018</v>
      </c>
      <c r="C72" s="99" t="s">
        <v>337</v>
      </c>
      <c r="D72" s="99">
        <f>COUNTIFS('Raw Data'!$K$2:$K$92,B72,'Raw Data'!$D$2:$D$92,Analysis!C72)</f>
        <v>14</v>
      </c>
    </row>
    <row r="73" spans="1:4">
      <c r="A73" s="99" t="s">
        <v>371</v>
      </c>
      <c r="B73" s="100">
        <v>2019</v>
      </c>
      <c r="C73" s="99" t="s">
        <v>337</v>
      </c>
      <c r="D73" s="99">
        <f>COUNTIFS('Raw Data'!$K$2:$K$92,B73,'Raw Data'!$D$2:$D$92,Analysis!C73)</f>
        <v>2</v>
      </c>
    </row>
    <row r="74" spans="1:4">
      <c r="A74" s="99" t="s">
        <v>372</v>
      </c>
      <c r="B74" s="100">
        <v>2020</v>
      </c>
      <c r="C74" s="99" t="s">
        <v>337</v>
      </c>
      <c r="D74" s="99">
        <f>COUNTIFS('Raw Data'!$K$2:$K$92,B74,'Raw Data'!$D$2:$D$92,Analysis!C74)</f>
        <v>0</v>
      </c>
    </row>
    <row r="75" spans="1:4">
      <c r="A75" s="99" t="s">
        <v>373</v>
      </c>
      <c r="B75" s="100">
        <v>2021</v>
      </c>
      <c r="C75" s="99" t="s">
        <v>337</v>
      </c>
      <c r="D75" s="99">
        <f>COUNTIFS('Raw Data'!$K$2:$K$92,B75,'Raw Data'!$D$2:$D$92,Analysis!C75)</f>
        <v>0</v>
      </c>
    </row>
    <row r="76" spans="1:4">
      <c r="A76" s="99" t="s">
        <v>374</v>
      </c>
      <c r="B76" s="100">
        <v>2022</v>
      </c>
      <c r="C76" s="99" t="s">
        <v>337</v>
      </c>
      <c r="D76" s="99">
        <f>COUNTIFS('Raw Data'!$K$2:$K$92,B76,'Raw Data'!$D$2:$D$92,Analysis!C76)</f>
        <v>0</v>
      </c>
    </row>
    <row r="77" spans="1:4">
      <c r="A77" s="99" t="s">
        <v>375</v>
      </c>
      <c r="B77" s="100">
        <v>2023</v>
      </c>
      <c r="C77" s="99" t="s">
        <v>337</v>
      </c>
      <c r="D77" s="99">
        <f>COUNTIFS('Raw Data'!$K$2:$K$92,B77,'Raw Data'!$D$2:$D$92,Analysis!C77)</f>
        <v>0</v>
      </c>
    </row>
    <row r="78" spans="1:4">
      <c r="A78" s="99" t="s">
        <v>376</v>
      </c>
      <c r="B78" s="100">
        <v>2024</v>
      </c>
      <c r="C78" s="99" t="s">
        <v>337</v>
      </c>
      <c r="D78" s="99">
        <f>COUNTIFS('Raw Data'!$K$2:$K$92,B78,'Raw Data'!$D$2:$D$92,Analysis!C78)</f>
        <v>18</v>
      </c>
    </row>
    <row r="79" spans="1:4">
      <c r="A79" s="99" t="s">
        <v>377</v>
      </c>
      <c r="B79" s="100">
        <v>2025</v>
      </c>
      <c r="C79" s="99" t="s">
        <v>337</v>
      </c>
      <c r="D79" s="99">
        <f>COUNTIFS('Raw Data'!$K$2:$K$92,B79,'Raw Data'!$D$2:$D$92,Analysis!C79)</f>
        <v>1</v>
      </c>
    </row>
    <row r="80" spans="1:4">
      <c r="A80" s="99" t="s">
        <v>378</v>
      </c>
      <c r="B80" s="100" t="s">
        <v>378</v>
      </c>
      <c r="C80" s="99" t="s">
        <v>337</v>
      </c>
      <c r="D80" s="99">
        <f>COUNTIFS('Raw Data'!$K$2:$K$92,B80,'Raw Data'!$D$2:$D$92,Analysis!C80)</f>
        <v>1</v>
      </c>
    </row>
    <row r="81" spans="1:4">
      <c r="A81" s="98" t="s">
        <v>339</v>
      </c>
      <c r="B81" s="98"/>
      <c r="C81" s="98"/>
      <c r="D81" s="99">
        <f>SUM(D71:D80)</f>
        <v>69</v>
      </c>
    </row>
    <row r="83" spans="1:4">
      <c r="A83" s="97" t="s">
        <v>383</v>
      </c>
      <c r="B83" s="97"/>
      <c r="C83" s="97"/>
    </row>
    <row r="84" spans="1:4">
      <c r="A84" s="98" t="s">
        <v>369</v>
      </c>
      <c r="B84" s="98" t="s">
        <v>380</v>
      </c>
      <c r="C84" s="98" t="s">
        <v>332</v>
      </c>
      <c r="D84" s="98" t="s">
        <v>333</v>
      </c>
    </row>
    <row r="85" spans="1:4">
      <c r="A85" s="99" t="s">
        <v>368</v>
      </c>
      <c r="B85" s="100" t="s">
        <v>381</v>
      </c>
      <c r="C85" s="99" t="s">
        <v>338</v>
      </c>
      <c r="D85" s="99">
        <f>COUNTIFS('Raw Data'!$K$2:$K$92,"&lt;2018",'Raw Data'!$D$2:$D$92,Analysis!C85)</f>
        <v>3</v>
      </c>
    </row>
    <row r="86" spans="1:4">
      <c r="A86" s="99" t="s">
        <v>370</v>
      </c>
      <c r="B86" s="100">
        <v>2018</v>
      </c>
      <c r="C86" s="99" t="s">
        <v>338</v>
      </c>
      <c r="D86" s="99">
        <f>COUNTIFS('Raw Data'!$K$2:$K$92,B86,'Raw Data'!$D$2:$D$92,Analysis!C86)</f>
        <v>1</v>
      </c>
    </row>
    <row r="87" spans="1:4">
      <c r="A87" s="99" t="s">
        <v>371</v>
      </c>
      <c r="B87" s="100">
        <v>2019</v>
      </c>
      <c r="C87" s="99" t="s">
        <v>338</v>
      </c>
      <c r="D87" s="99">
        <f>COUNTIFS('Raw Data'!$K$2:$K$92,B87,'Raw Data'!$D$2:$D$92,Analysis!C87)</f>
        <v>4</v>
      </c>
    </row>
    <row r="88" spans="1:4">
      <c r="A88" s="99" t="s">
        <v>372</v>
      </c>
      <c r="B88" s="100">
        <v>2020</v>
      </c>
      <c r="C88" s="99" t="s">
        <v>338</v>
      </c>
      <c r="D88" s="99">
        <f>COUNTIFS('Raw Data'!$K$2:$K$92,B88,'Raw Data'!$D$2:$D$92,Analysis!C88)</f>
        <v>0</v>
      </c>
    </row>
    <row r="89" spans="1:4">
      <c r="A89" s="99" t="s">
        <v>373</v>
      </c>
      <c r="B89" s="100">
        <v>2021</v>
      </c>
      <c r="C89" s="99" t="s">
        <v>338</v>
      </c>
      <c r="D89" s="99">
        <f>COUNTIFS('Raw Data'!$K$2:$K$92,B89,'Raw Data'!$D$2:$D$92,Analysis!C89)</f>
        <v>2</v>
      </c>
    </row>
    <row r="90" spans="1:4">
      <c r="A90" s="99" t="s">
        <v>374</v>
      </c>
      <c r="B90" s="100">
        <v>2022</v>
      </c>
      <c r="C90" s="99" t="s">
        <v>338</v>
      </c>
      <c r="D90" s="99">
        <f>COUNTIFS('Raw Data'!$K$2:$K$92,B90,'Raw Data'!$D$2:$D$92,Analysis!C90)</f>
        <v>0</v>
      </c>
    </row>
    <row r="91" spans="1:4">
      <c r="A91" s="99" t="s">
        <v>375</v>
      </c>
      <c r="B91" s="100">
        <v>2023</v>
      </c>
      <c r="C91" s="99" t="s">
        <v>338</v>
      </c>
      <c r="D91" s="99">
        <f>COUNTIFS('Raw Data'!$K$2:$K$92,B91,'Raw Data'!$D$2:$D$92,Analysis!C91)</f>
        <v>0</v>
      </c>
    </row>
    <row r="92" spans="1:4">
      <c r="A92" s="99" t="s">
        <v>376</v>
      </c>
      <c r="B92" s="100">
        <v>2024</v>
      </c>
      <c r="C92" s="99" t="s">
        <v>338</v>
      </c>
      <c r="D92" s="99">
        <f>COUNTIFS('Raw Data'!$K$2:$K$92,B92,'Raw Data'!$D$2:$D$92,Analysis!C92)</f>
        <v>12</v>
      </c>
    </row>
    <row r="93" spans="1:4">
      <c r="A93" s="99" t="s">
        <v>377</v>
      </c>
      <c r="B93" s="100">
        <v>2025</v>
      </c>
      <c r="C93" s="99" t="s">
        <v>338</v>
      </c>
      <c r="D93" s="99">
        <f>COUNTIFS('Raw Data'!$K$2:$K$92,B93,'Raw Data'!$D$2:$D$92,Analysis!C93)</f>
        <v>0</v>
      </c>
    </row>
    <row r="94" spans="1:4">
      <c r="A94" s="99" t="s">
        <v>378</v>
      </c>
      <c r="B94" s="100" t="s">
        <v>378</v>
      </c>
      <c r="C94" s="99" t="s">
        <v>338</v>
      </c>
      <c r="D94" s="99">
        <f>COUNTIFS('Raw Data'!$K$2:$K$92,B94,'Raw Data'!$D$2:$D$92,Analysis!C94)</f>
        <v>0</v>
      </c>
    </row>
    <row r="95" spans="1:4">
      <c r="A95" s="98" t="s">
        <v>339</v>
      </c>
      <c r="B95" s="98"/>
      <c r="C95" s="98"/>
      <c r="D95" s="99">
        <f>SUM(D85:D94)</f>
        <v>22</v>
      </c>
    </row>
  </sheetData>
  <phoneticPr fontId="15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  <rowBreaks count="1" manualBreakCount="1">
    <brk id="5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8747-C356-4FE4-9B25-1EA75DCC5442}">
  <dimension ref="A1:F49"/>
  <sheetViews>
    <sheetView workbookViewId="0">
      <selection activeCell="A5" sqref="A5"/>
    </sheetView>
  </sheetViews>
  <sheetFormatPr baseColWidth="10" defaultColWidth="8.90625" defaultRowHeight="14"/>
  <cols>
    <col min="1" max="2" width="20.81640625" style="96" customWidth="1"/>
    <col min="3" max="3" width="22.81640625" style="96" bestFit="1" customWidth="1"/>
    <col min="4" max="4" width="20.81640625" style="96" hidden="1" customWidth="1"/>
    <col min="5" max="10" width="20.81640625" style="96" customWidth="1"/>
    <col min="11" max="16384" width="8.90625" style="96"/>
  </cols>
  <sheetData>
    <row r="1" spans="1:6">
      <c r="A1" s="97" t="s">
        <v>407</v>
      </c>
    </row>
    <row r="2" spans="1:6">
      <c r="A2" s="140" t="s">
        <v>409</v>
      </c>
      <c r="B2" s="140" t="s">
        <v>415</v>
      </c>
      <c r="C2" s="140" t="s">
        <v>422</v>
      </c>
      <c r="D2" s="140" t="s">
        <v>422</v>
      </c>
      <c r="E2" s="101" t="s">
        <v>407</v>
      </c>
      <c r="F2" s="101"/>
    </row>
    <row r="3" spans="1:6">
      <c r="A3" s="140"/>
      <c r="B3" s="140"/>
      <c r="C3" s="140"/>
      <c r="D3" s="140"/>
      <c r="E3" s="98" t="s">
        <v>416</v>
      </c>
      <c r="F3" s="98" t="s">
        <v>331</v>
      </c>
    </row>
    <row r="4" spans="1:6" hidden="1">
      <c r="A4" s="99"/>
      <c r="B4" s="99"/>
      <c r="C4" s="99"/>
      <c r="D4" s="99"/>
      <c r="E4" s="100" t="s">
        <v>355</v>
      </c>
      <c r="F4" s="100" t="s">
        <v>357</v>
      </c>
    </row>
    <row r="5" spans="1:6">
      <c r="A5" s="99" t="s">
        <v>411</v>
      </c>
      <c r="B5" s="99" t="s">
        <v>221</v>
      </c>
      <c r="C5" s="99" t="s">
        <v>13</v>
      </c>
      <c r="D5" s="99" t="s">
        <v>337</v>
      </c>
      <c r="E5" s="99">
        <f>COUNTIFS('Raw Data'!$I$2:$I$92,Analysis_Commune!$B5,'Raw Data'!$D$2:$D$92,Analysis_Commune!$D5,'Raw Data'!$N$2:$N$92,Analysis_Commune!E$4)</f>
        <v>5</v>
      </c>
      <c r="F5" s="99">
        <f>COUNTIFS('Raw Data'!$I$2:$I$92,Analysis_Commune!$B5,'Raw Data'!$D$2:$D$92,Analysis_Commune!$D5,'Raw Data'!$N$2:$N$92,Analysis_Commune!F$4)</f>
        <v>1</v>
      </c>
    </row>
    <row r="6" spans="1:6">
      <c r="A6" s="99" t="s">
        <v>411</v>
      </c>
      <c r="B6" s="99" t="s">
        <v>205</v>
      </c>
      <c r="C6" s="99" t="s">
        <v>13</v>
      </c>
      <c r="D6" s="99" t="s">
        <v>337</v>
      </c>
      <c r="E6" s="99">
        <f>COUNTIFS('Raw Data'!$I$2:$I$92,Analysis_Commune!$B6,'Raw Data'!$D$2:$D$92,Analysis_Commune!$D6,'Raw Data'!$N$2:$N$92,Analysis_Commune!E$4)</f>
        <v>14</v>
      </c>
      <c r="F6" s="99">
        <f>COUNTIFS('Raw Data'!$I$2:$I$92,Analysis_Commune!$B6,'Raw Data'!$D$2:$D$92,Analysis_Commune!$D6,'Raw Data'!$N$2:$N$92,Analysis_Commune!F$4)</f>
        <v>2</v>
      </c>
    </row>
    <row r="7" spans="1:6">
      <c r="A7" s="99" t="s">
        <v>411</v>
      </c>
      <c r="B7" s="99" t="s">
        <v>218</v>
      </c>
      <c r="C7" s="99" t="s">
        <v>13</v>
      </c>
      <c r="D7" s="99" t="s">
        <v>337</v>
      </c>
      <c r="E7" s="99">
        <f>COUNTIFS('Raw Data'!$I$2:$I$92,Analysis_Commune!$B7,'Raw Data'!$D$2:$D$92,Analysis_Commune!$D7,'Raw Data'!$N$2:$N$92,Analysis_Commune!E$4)</f>
        <v>1</v>
      </c>
      <c r="F7" s="99">
        <f>COUNTIFS('Raw Data'!$I$2:$I$92,Analysis_Commune!$B7,'Raw Data'!$D$2:$D$92,Analysis_Commune!$D7,'Raw Data'!$N$2:$N$92,Analysis_Commune!F$4)</f>
        <v>0</v>
      </c>
    </row>
    <row r="8" spans="1:6">
      <c r="A8" s="101" t="s">
        <v>428</v>
      </c>
      <c r="B8" s="101"/>
      <c r="C8" s="101"/>
      <c r="D8" s="99"/>
      <c r="E8" s="99">
        <f>SUM(E5:E7)</f>
        <v>20</v>
      </c>
      <c r="F8" s="99">
        <f>SUM(F5:F7)</f>
        <v>3</v>
      </c>
    </row>
    <row r="9" spans="1:6">
      <c r="A9" s="99" t="s">
        <v>413</v>
      </c>
      <c r="B9" s="99" t="s">
        <v>404</v>
      </c>
      <c r="C9" s="99" t="s">
        <v>13</v>
      </c>
      <c r="D9" s="99" t="s">
        <v>337</v>
      </c>
      <c r="E9" s="99">
        <f>COUNTIFS('Raw Data'!$I$2:$I$92,Analysis_Commune!$B9,'Raw Data'!$D$2:$D$92,Analysis_Commune!$D9,'Raw Data'!$N$2:$N$92,Analysis_Commune!E$4)</f>
        <v>3</v>
      </c>
      <c r="F9" s="99">
        <f>COUNTIFS('Raw Data'!$I$2:$I$92,Analysis_Commune!$B9,'Raw Data'!$D$2:$D$92,Analysis_Commune!$D9,'Raw Data'!$N$2:$N$92,Analysis_Commune!F$4)</f>
        <v>0</v>
      </c>
    </row>
    <row r="10" spans="1:6">
      <c r="A10" s="99" t="s">
        <v>413</v>
      </c>
      <c r="B10" s="99" t="s">
        <v>418</v>
      </c>
      <c r="C10" s="99" t="s">
        <v>13</v>
      </c>
      <c r="D10" s="99" t="s">
        <v>337</v>
      </c>
      <c r="E10" s="99">
        <f>COUNTIFS('Raw Data'!$I$2:$I$92,Analysis_Commune!$B10,'Raw Data'!$D$2:$D$92,Analysis_Commune!$D10,'Raw Data'!$N$2:$N$92,Analysis_Commune!E$4)</f>
        <v>6</v>
      </c>
      <c r="F10" s="99">
        <f>COUNTIFS('Raw Data'!$I$2:$I$92,Analysis_Commune!$B10,'Raw Data'!$D$2:$D$92,Analysis_Commune!$D10,'Raw Data'!$N$2:$N$92,Analysis_Commune!F$4)</f>
        <v>0</v>
      </c>
    </row>
    <row r="11" spans="1:6">
      <c r="A11" s="99" t="s">
        <v>413</v>
      </c>
      <c r="B11" s="99" t="s">
        <v>222</v>
      </c>
      <c r="C11" s="99" t="s">
        <v>13</v>
      </c>
      <c r="D11" s="99" t="s">
        <v>337</v>
      </c>
      <c r="E11" s="99">
        <f>COUNTIFS('Raw Data'!$I$2:$I$92,Analysis_Commune!$B11,'Raw Data'!$D$2:$D$92,Analysis_Commune!$D11,'Raw Data'!$N$2:$N$92,Analysis_Commune!E$4)</f>
        <v>15</v>
      </c>
      <c r="F11" s="99">
        <f>COUNTIFS('Raw Data'!$I$2:$I$92,Analysis_Commune!$B11,'Raw Data'!$D$2:$D$92,Analysis_Commune!$D11,'Raw Data'!$N$2:$N$92,Analysis_Commune!F$4)</f>
        <v>2</v>
      </c>
    </row>
    <row r="12" spans="1:6">
      <c r="A12" s="99" t="s">
        <v>413</v>
      </c>
      <c r="B12" s="99" t="s">
        <v>220</v>
      </c>
      <c r="C12" s="99" t="s">
        <v>13</v>
      </c>
      <c r="D12" s="99" t="s">
        <v>337</v>
      </c>
      <c r="E12" s="99">
        <f>COUNTIFS('Raw Data'!$I$2:$I$92,Analysis_Commune!$B12,'Raw Data'!$D$2:$D$92,Analysis_Commune!$D12,'Raw Data'!$N$2:$N$92,Analysis_Commune!E$4)</f>
        <v>1</v>
      </c>
      <c r="F12" s="99">
        <f>COUNTIFS('Raw Data'!$I$2:$I$92,Analysis_Commune!$B12,'Raw Data'!$D$2:$D$92,Analysis_Commune!$D12,'Raw Data'!$N$2:$N$92,Analysis_Commune!F$4)</f>
        <v>0</v>
      </c>
    </row>
    <row r="13" spans="1:6">
      <c r="A13" s="99" t="s">
        <v>413</v>
      </c>
      <c r="B13" s="99" t="s">
        <v>391</v>
      </c>
      <c r="C13" s="99" t="s">
        <v>13</v>
      </c>
      <c r="D13" s="99" t="s">
        <v>337</v>
      </c>
      <c r="E13" s="99">
        <f>COUNTIFS('Raw Data'!$I$2:$I$92,Analysis_Commune!$B13,'Raw Data'!$D$2:$D$92,Analysis_Commune!$D13,'Raw Data'!$N$2:$N$92,Analysis_Commune!E$4)</f>
        <v>3</v>
      </c>
      <c r="F13" s="99">
        <f>COUNTIFS('Raw Data'!$I$2:$I$92,Analysis_Commune!$B13,'Raw Data'!$D$2:$D$92,Analysis_Commune!$D13,'Raw Data'!$N$2:$N$92,Analysis_Commune!F$4)</f>
        <v>0</v>
      </c>
    </row>
    <row r="14" spans="1:6">
      <c r="A14" s="101" t="s">
        <v>428</v>
      </c>
      <c r="B14" s="101"/>
      <c r="C14" s="101"/>
      <c r="D14" s="99"/>
      <c r="E14" s="99">
        <f>SUM(E9:E13)</f>
        <v>28</v>
      </c>
      <c r="F14" s="99">
        <f>SUM(F9:F13)</f>
        <v>2</v>
      </c>
    </row>
    <row r="15" spans="1:6">
      <c r="A15" s="99" t="s">
        <v>414</v>
      </c>
      <c r="B15" s="99" t="s">
        <v>209</v>
      </c>
      <c r="C15" s="99" t="s">
        <v>13</v>
      </c>
      <c r="D15" s="99" t="s">
        <v>337</v>
      </c>
      <c r="E15" s="99">
        <f>COUNTIFS('Raw Data'!$I$2:$I$92,Analysis_Commune!$B15,'Raw Data'!$D$2:$D$92,Analysis_Commune!$D15,'Raw Data'!$N$2:$N$92,Analysis_Commune!E$4)</f>
        <v>3</v>
      </c>
      <c r="F15" s="99">
        <f>COUNTIFS('Raw Data'!$I$2:$I$92,Analysis_Commune!$B15,'Raw Data'!$D$2:$D$92,Analysis_Commune!$D15,'Raw Data'!$N$2:$N$92,Analysis_Commune!F$4)</f>
        <v>0</v>
      </c>
    </row>
    <row r="16" spans="1:6">
      <c r="A16" s="99" t="s">
        <v>414</v>
      </c>
      <c r="B16" s="99" t="s">
        <v>397</v>
      </c>
      <c r="C16" s="99" t="s">
        <v>13</v>
      </c>
      <c r="D16" s="99" t="s">
        <v>337</v>
      </c>
      <c r="E16" s="99">
        <f>COUNTIFS('Raw Data'!$I$2:$I$92,Analysis_Commune!$B16,'Raw Data'!$D$2:$D$92,Analysis_Commune!$D16,'Raw Data'!$N$2:$N$92,Analysis_Commune!E$4)</f>
        <v>3</v>
      </c>
      <c r="F16" s="99">
        <f>COUNTIFS('Raw Data'!$I$2:$I$92,Analysis_Commune!$B16,'Raw Data'!$D$2:$D$92,Analysis_Commune!$D16,'Raw Data'!$N$2:$N$92,Analysis_Commune!F$4)</f>
        <v>1</v>
      </c>
    </row>
    <row r="17" spans="1:6">
      <c r="A17" s="99" t="s">
        <v>414</v>
      </c>
      <c r="B17" s="99" t="s">
        <v>419</v>
      </c>
      <c r="C17" s="99" t="s">
        <v>13</v>
      </c>
      <c r="D17" s="99" t="s">
        <v>337</v>
      </c>
      <c r="E17" s="99">
        <f>COUNTIFS('Raw Data'!$I$2:$I$92,Analysis_Commune!$B17,'Raw Data'!$D$2:$D$92,Analysis_Commune!$D17,'Raw Data'!$N$2:$N$92,Analysis_Commune!E$4)</f>
        <v>2</v>
      </c>
      <c r="F17" s="99">
        <f>COUNTIFS('Raw Data'!$I$2:$I$92,Analysis_Commune!$B17,'Raw Data'!$D$2:$D$92,Analysis_Commune!$D17,'Raw Data'!$N$2:$N$92,Analysis_Commune!F$4)</f>
        <v>2</v>
      </c>
    </row>
    <row r="18" spans="1:6">
      <c r="A18" s="99" t="s">
        <v>414</v>
      </c>
      <c r="B18" s="99" t="s">
        <v>420</v>
      </c>
      <c r="C18" s="99" t="s">
        <v>13</v>
      </c>
      <c r="D18" s="99" t="s">
        <v>337</v>
      </c>
      <c r="E18" s="99">
        <f>COUNTIFS('Raw Data'!$I$2:$I$92,Analysis_Commune!$B18,'Raw Data'!$D$2:$D$92,Analysis_Commune!$D18,'Raw Data'!$N$2:$N$92,Analysis_Commune!E$4)</f>
        <v>0</v>
      </c>
      <c r="F18" s="99">
        <f>COUNTIFS('Raw Data'!$I$2:$I$92,Analysis_Commune!$B18,'Raw Data'!$D$2:$D$92,Analysis_Commune!$D18,'Raw Data'!$N$2:$N$92,Analysis_Commune!F$4)</f>
        <v>1</v>
      </c>
    </row>
    <row r="19" spans="1:6">
      <c r="A19" s="99" t="s">
        <v>414</v>
      </c>
      <c r="B19" s="99" t="s">
        <v>401</v>
      </c>
      <c r="C19" s="99" t="s">
        <v>13</v>
      </c>
      <c r="D19" s="99" t="s">
        <v>337</v>
      </c>
      <c r="E19" s="99">
        <f>COUNTIFS('Raw Data'!$I$2:$I$92,Analysis_Commune!$B19,'Raw Data'!$D$2:$D$92,Analysis_Commune!$D19,'Raw Data'!$N$2:$N$92,Analysis_Commune!E$4)</f>
        <v>1</v>
      </c>
      <c r="F19" s="99">
        <f>COUNTIFS('Raw Data'!$I$2:$I$92,Analysis_Commune!$B19,'Raw Data'!$D$2:$D$92,Analysis_Commune!$D19,'Raw Data'!$N$2:$N$92,Analysis_Commune!F$4)</f>
        <v>0</v>
      </c>
    </row>
    <row r="20" spans="1:6">
      <c r="A20" s="99" t="s">
        <v>414</v>
      </c>
      <c r="B20" s="99" t="s">
        <v>386</v>
      </c>
      <c r="C20" s="99" t="s">
        <v>13</v>
      </c>
      <c r="D20" s="99" t="s">
        <v>337</v>
      </c>
      <c r="E20" s="99">
        <f>COUNTIFS('Raw Data'!$I$2:$I$92,Analysis_Commune!$B20,'Raw Data'!$D$2:$D$92,Analysis_Commune!$D20,'Raw Data'!$N$2:$N$92,Analysis_Commune!E$4)</f>
        <v>1</v>
      </c>
      <c r="F20" s="99">
        <f>COUNTIFS('Raw Data'!$I$2:$I$92,Analysis_Commune!$B20,'Raw Data'!$D$2:$D$92,Analysis_Commune!$D20,'Raw Data'!$N$2:$N$92,Analysis_Commune!F$4)</f>
        <v>0</v>
      </c>
    </row>
    <row r="21" spans="1:6">
      <c r="A21" s="99" t="s">
        <v>414</v>
      </c>
      <c r="B21" s="99" t="s">
        <v>384</v>
      </c>
      <c r="C21" s="99" t="s">
        <v>13</v>
      </c>
      <c r="D21" s="99" t="s">
        <v>337</v>
      </c>
      <c r="E21" s="99">
        <f>COUNTIFS('Raw Data'!$I$2:$I$92,Analysis_Commune!$B21,'Raw Data'!$D$2:$D$92,Analysis_Commune!$D21,'Raw Data'!$N$2:$N$92,Analysis_Commune!E$4)</f>
        <v>0</v>
      </c>
      <c r="F21" s="99">
        <f>COUNTIFS('Raw Data'!$I$2:$I$92,Analysis_Commune!$B21,'Raw Data'!$D$2:$D$92,Analysis_Commune!$D21,'Raw Data'!$N$2:$N$92,Analysis_Commune!F$4)</f>
        <v>1</v>
      </c>
    </row>
    <row r="22" spans="1:6">
      <c r="A22" s="99" t="s">
        <v>414</v>
      </c>
      <c r="B22" s="99" t="s">
        <v>389</v>
      </c>
      <c r="C22" s="99" t="s">
        <v>13</v>
      </c>
      <c r="D22" s="99" t="s">
        <v>337</v>
      </c>
      <c r="E22" s="99">
        <f>COUNTIFS('Raw Data'!$I$2:$I$92,Analysis_Commune!$B22,'Raw Data'!$D$2:$D$92,Analysis_Commune!$D22,'Raw Data'!$N$2:$N$92,Analysis_Commune!E$4)</f>
        <v>0</v>
      </c>
      <c r="F22" s="99">
        <f>COUNTIFS('Raw Data'!$I$2:$I$92,Analysis_Commune!$B22,'Raw Data'!$D$2:$D$92,Analysis_Commune!$D22,'Raw Data'!$N$2:$N$92,Analysis_Commune!F$4)</f>
        <v>1</v>
      </c>
    </row>
    <row r="23" spans="1:6">
      <c r="A23" s="101" t="s">
        <v>428</v>
      </c>
      <c r="B23" s="101"/>
      <c r="C23" s="101"/>
      <c r="D23" s="99"/>
      <c r="E23" s="99">
        <f>SUM(E15:E22)</f>
        <v>10</v>
      </c>
      <c r="F23" s="99">
        <f>SUM(F15:F22)</f>
        <v>6</v>
      </c>
    </row>
    <row r="24" spans="1:6">
      <c r="A24" s="101" t="s">
        <v>339</v>
      </c>
      <c r="B24" s="101"/>
      <c r="C24" s="101"/>
      <c r="D24" s="99"/>
      <c r="E24" s="105">
        <f>SUMIF($A5:$A23,"Sous-total",E5:E23)</f>
        <v>58</v>
      </c>
      <c r="F24" s="105">
        <f>SUMIF($A5:$A23,"Sous-total",F5:F23)</f>
        <v>11</v>
      </c>
    </row>
    <row r="26" spans="1:6">
      <c r="A26" s="97" t="s">
        <v>426</v>
      </c>
    </row>
    <row r="27" spans="1:6">
      <c r="A27" s="140" t="s">
        <v>409</v>
      </c>
      <c r="B27" s="140" t="s">
        <v>415</v>
      </c>
      <c r="C27" s="140" t="s">
        <v>422</v>
      </c>
      <c r="D27" s="140" t="s">
        <v>422</v>
      </c>
      <c r="E27" s="101" t="s">
        <v>407</v>
      </c>
      <c r="F27" s="101"/>
    </row>
    <row r="28" spans="1:6">
      <c r="A28" s="140"/>
      <c r="B28" s="140"/>
      <c r="C28" s="140"/>
      <c r="D28" s="140"/>
      <c r="E28" s="98" t="s">
        <v>416</v>
      </c>
      <c r="F28" s="98" t="s">
        <v>331</v>
      </c>
    </row>
    <row r="29" spans="1:6">
      <c r="A29" s="99"/>
      <c r="B29" s="99"/>
      <c r="C29" s="99"/>
      <c r="D29" s="99"/>
      <c r="E29" s="100" t="s">
        <v>355</v>
      </c>
      <c r="F29" s="100" t="s">
        <v>357</v>
      </c>
    </row>
    <row r="30" spans="1:6">
      <c r="A30" s="99" t="s">
        <v>411</v>
      </c>
      <c r="B30" s="99" t="s">
        <v>221</v>
      </c>
      <c r="C30" s="99" t="s">
        <v>427</v>
      </c>
      <c r="D30" s="99" t="s">
        <v>338</v>
      </c>
      <c r="E30" s="99">
        <f>COUNTIFS('Raw Data'!$I$2:$I$92,Analysis_Commune!$B30,'Raw Data'!$D$2:$D$92,Analysis_Commune!$D30,'Raw Data'!$N$2:$N$92,Analysis_Commune!E$4)</f>
        <v>3</v>
      </c>
      <c r="F30" s="99">
        <f>COUNTIFS('Raw Data'!$I$2:$I$92,Analysis_Commune!$B30,'Raw Data'!$D$2:$D$92,Analysis_Commune!$D30,'Raw Data'!$N$2:$N$92,Analysis_Commune!F$4)</f>
        <v>1</v>
      </c>
    </row>
    <row r="31" spans="1:6">
      <c r="A31" s="99" t="s">
        <v>411</v>
      </c>
      <c r="B31" s="99" t="s">
        <v>205</v>
      </c>
      <c r="C31" s="99" t="s">
        <v>427</v>
      </c>
      <c r="D31" s="99" t="s">
        <v>338</v>
      </c>
      <c r="E31" s="99">
        <f>COUNTIFS('Raw Data'!$I$2:$I$92,Analysis_Commune!$B31,'Raw Data'!$D$2:$D$92,Analysis_Commune!$D31,'Raw Data'!$N$2:$N$92,Analysis_Commune!E$4)</f>
        <v>5</v>
      </c>
      <c r="F31" s="99">
        <f>COUNTIFS('Raw Data'!$I$2:$I$92,Analysis_Commune!$B31,'Raw Data'!$D$2:$D$92,Analysis_Commune!$D31,'Raw Data'!$N$2:$N$92,Analysis_Commune!F$4)</f>
        <v>0</v>
      </c>
    </row>
    <row r="32" spans="1:6">
      <c r="A32" s="99" t="s">
        <v>411</v>
      </c>
      <c r="B32" s="99" t="s">
        <v>218</v>
      </c>
      <c r="C32" s="99" t="s">
        <v>427</v>
      </c>
      <c r="D32" s="99" t="s">
        <v>338</v>
      </c>
      <c r="E32" s="99">
        <f>COUNTIFS('Raw Data'!$I$2:$I$92,Analysis_Commune!$B32,'Raw Data'!$D$2:$D$92,Analysis_Commune!$D32,'Raw Data'!$N$2:$N$92,Analysis_Commune!E$4)</f>
        <v>1</v>
      </c>
      <c r="F32" s="99">
        <f>COUNTIFS('Raw Data'!$I$2:$I$92,Analysis_Commune!$B32,'Raw Data'!$D$2:$D$92,Analysis_Commune!$D32,'Raw Data'!$N$2:$N$92,Analysis_Commune!F$4)</f>
        <v>2</v>
      </c>
    </row>
    <row r="33" spans="1:6">
      <c r="A33" s="101" t="s">
        <v>428</v>
      </c>
      <c r="B33" s="101"/>
      <c r="C33" s="101"/>
      <c r="D33" s="99"/>
      <c r="E33" s="99">
        <f>SUM(E30:E32)</f>
        <v>9</v>
      </c>
      <c r="F33" s="99">
        <f>SUM(F30:F32)</f>
        <v>3</v>
      </c>
    </row>
    <row r="34" spans="1:6">
      <c r="A34" s="99" t="s">
        <v>413</v>
      </c>
      <c r="B34" s="99" t="s">
        <v>404</v>
      </c>
      <c r="C34" s="99" t="s">
        <v>427</v>
      </c>
      <c r="D34" s="99" t="s">
        <v>338</v>
      </c>
      <c r="E34" s="99">
        <f>COUNTIFS('Raw Data'!$I$2:$I$92,Analysis_Commune!$B34,'Raw Data'!$D$2:$D$92,Analysis_Commune!$D34,'Raw Data'!$N$2:$N$92,Analysis_Commune!E$4)</f>
        <v>0</v>
      </c>
      <c r="F34" s="99">
        <f>COUNTIFS('Raw Data'!$I$2:$I$92,Analysis_Commune!$B34,'Raw Data'!$D$2:$D$92,Analysis_Commune!$D34,'Raw Data'!$N$2:$N$92,Analysis_Commune!F$4)</f>
        <v>0</v>
      </c>
    </row>
    <row r="35" spans="1:6">
      <c r="A35" s="99" t="s">
        <v>413</v>
      </c>
      <c r="B35" s="99" t="s">
        <v>418</v>
      </c>
      <c r="C35" s="99" t="s">
        <v>427</v>
      </c>
      <c r="D35" s="99" t="s">
        <v>338</v>
      </c>
      <c r="E35" s="99">
        <f>COUNTIFS('Raw Data'!$I$2:$I$92,Analysis_Commune!$B35,'Raw Data'!$D$2:$D$92,Analysis_Commune!$D35,'Raw Data'!$N$2:$N$92,Analysis_Commune!E$4)</f>
        <v>0</v>
      </c>
      <c r="F35" s="99">
        <f>COUNTIFS('Raw Data'!$I$2:$I$92,Analysis_Commune!$B35,'Raw Data'!$D$2:$D$92,Analysis_Commune!$D35,'Raw Data'!$N$2:$N$92,Analysis_Commune!F$4)</f>
        <v>0</v>
      </c>
    </row>
    <row r="36" spans="1:6">
      <c r="A36" s="99" t="s">
        <v>413</v>
      </c>
      <c r="B36" s="99" t="s">
        <v>222</v>
      </c>
      <c r="C36" s="99" t="s">
        <v>427</v>
      </c>
      <c r="D36" s="99" t="s">
        <v>338</v>
      </c>
      <c r="E36" s="99">
        <f>COUNTIFS('Raw Data'!$I$2:$I$92,Analysis_Commune!$B36,'Raw Data'!$D$2:$D$92,Analysis_Commune!$D36,'Raw Data'!$N$2:$N$92,Analysis_Commune!E$4)</f>
        <v>5</v>
      </c>
      <c r="F36" s="99">
        <f>COUNTIFS('Raw Data'!$I$2:$I$92,Analysis_Commune!$B36,'Raw Data'!$D$2:$D$92,Analysis_Commune!$D36,'Raw Data'!$N$2:$N$92,Analysis_Commune!F$4)</f>
        <v>0</v>
      </c>
    </row>
    <row r="37" spans="1:6">
      <c r="A37" s="99" t="s">
        <v>413</v>
      </c>
      <c r="B37" s="99" t="s">
        <v>220</v>
      </c>
      <c r="C37" s="99" t="s">
        <v>427</v>
      </c>
      <c r="D37" s="99" t="s">
        <v>338</v>
      </c>
      <c r="E37" s="99">
        <f>COUNTIFS('Raw Data'!$I$2:$I$92,Analysis_Commune!$B37,'Raw Data'!$D$2:$D$92,Analysis_Commune!$D37,'Raw Data'!$N$2:$N$92,Analysis_Commune!E$4)</f>
        <v>2</v>
      </c>
      <c r="F37" s="99">
        <f>COUNTIFS('Raw Data'!$I$2:$I$92,Analysis_Commune!$B37,'Raw Data'!$D$2:$D$92,Analysis_Commune!$D37,'Raw Data'!$N$2:$N$92,Analysis_Commune!F$4)</f>
        <v>0</v>
      </c>
    </row>
    <row r="38" spans="1:6">
      <c r="A38" s="99" t="s">
        <v>413</v>
      </c>
      <c r="B38" s="99" t="s">
        <v>391</v>
      </c>
      <c r="C38" s="99" t="s">
        <v>427</v>
      </c>
      <c r="D38" s="99" t="s">
        <v>338</v>
      </c>
      <c r="E38" s="99">
        <f>COUNTIFS('Raw Data'!$I$2:$I$92,Analysis_Commune!$B38,'Raw Data'!$D$2:$D$92,Analysis_Commune!$D38,'Raw Data'!$N$2:$N$92,Analysis_Commune!E$4)</f>
        <v>0</v>
      </c>
      <c r="F38" s="99">
        <f>COUNTIFS('Raw Data'!$I$2:$I$92,Analysis_Commune!$B38,'Raw Data'!$D$2:$D$92,Analysis_Commune!$D38,'Raw Data'!$N$2:$N$92,Analysis_Commune!F$4)</f>
        <v>0</v>
      </c>
    </row>
    <row r="39" spans="1:6">
      <c r="A39" s="101" t="s">
        <v>428</v>
      </c>
      <c r="B39" s="101"/>
      <c r="C39" s="101"/>
      <c r="D39" s="99"/>
      <c r="E39" s="99">
        <f>SUM(E34:E38)</f>
        <v>7</v>
      </c>
      <c r="F39" s="99">
        <f>SUM(F34:F38)</f>
        <v>0</v>
      </c>
    </row>
    <row r="40" spans="1:6">
      <c r="A40" s="99" t="s">
        <v>414</v>
      </c>
      <c r="B40" s="99" t="s">
        <v>209</v>
      </c>
      <c r="C40" s="99" t="s">
        <v>427</v>
      </c>
      <c r="D40" s="99" t="s">
        <v>338</v>
      </c>
      <c r="E40" s="99">
        <f>COUNTIFS('Raw Data'!$I$2:$I$92,Analysis_Commune!$B40,'Raw Data'!$D$2:$D$92,Analysis_Commune!$D40,'Raw Data'!$N$2:$N$92,Analysis_Commune!E$4)</f>
        <v>2</v>
      </c>
      <c r="F40" s="99">
        <f>COUNTIFS('Raw Data'!$I$2:$I$92,Analysis_Commune!$B40,'Raw Data'!$D$2:$D$92,Analysis_Commune!$D40,'Raw Data'!$N$2:$N$92,Analysis_Commune!F$4)</f>
        <v>0</v>
      </c>
    </row>
    <row r="41" spans="1:6">
      <c r="A41" s="99" t="s">
        <v>414</v>
      </c>
      <c r="B41" s="99" t="s">
        <v>397</v>
      </c>
      <c r="C41" s="99" t="s">
        <v>427</v>
      </c>
      <c r="D41" s="99" t="s">
        <v>338</v>
      </c>
      <c r="E41" s="99">
        <f>COUNTIFS('Raw Data'!$I$2:$I$92,Analysis_Commune!$B41,'Raw Data'!$D$2:$D$92,Analysis_Commune!$D41,'Raw Data'!$N$2:$N$92,Analysis_Commune!E$4)</f>
        <v>0</v>
      </c>
      <c r="F41" s="99">
        <f>COUNTIFS('Raw Data'!$I$2:$I$92,Analysis_Commune!$B41,'Raw Data'!$D$2:$D$92,Analysis_Commune!$D41,'Raw Data'!$N$2:$N$92,Analysis_Commune!F$4)</f>
        <v>0</v>
      </c>
    </row>
    <row r="42" spans="1:6">
      <c r="A42" s="99" t="s">
        <v>414</v>
      </c>
      <c r="B42" s="99" t="s">
        <v>419</v>
      </c>
      <c r="C42" s="99" t="s">
        <v>427</v>
      </c>
      <c r="D42" s="99" t="s">
        <v>338</v>
      </c>
      <c r="E42" s="99">
        <f>COUNTIFS('Raw Data'!$I$2:$I$92,Analysis_Commune!$B42,'Raw Data'!$D$2:$D$92,Analysis_Commune!$D42,'Raw Data'!$N$2:$N$92,Analysis_Commune!E$4)</f>
        <v>1</v>
      </c>
      <c r="F42" s="99">
        <f>COUNTIFS('Raw Data'!$I$2:$I$92,Analysis_Commune!$B42,'Raw Data'!$D$2:$D$92,Analysis_Commune!$D42,'Raw Data'!$N$2:$N$92,Analysis_Commune!F$4)</f>
        <v>0</v>
      </c>
    </row>
    <row r="43" spans="1:6">
      <c r="A43" s="99" t="s">
        <v>414</v>
      </c>
      <c r="B43" s="99" t="s">
        <v>420</v>
      </c>
      <c r="C43" s="99" t="s">
        <v>427</v>
      </c>
      <c r="D43" s="99" t="s">
        <v>338</v>
      </c>
      <c r="E43" s="99">
        <f>COUNTIFS('Raw Data'!$I$2:$I$92,Analysis_Commune!$B43,'Raw Data'!$D$2:$D$92,Analysis_Commune!$D43,'Raw Data'!$N$2:$N$92,Analysis_Commune!E$4)</f>
        <v>0</v>
      </c>
      <c r="F43" s="99">
        <f>COUNTIFS('Raw Data'!$I$2:$I$92,Analysis_Commune!$B43,'Raw Data'!$D$2:$D$92,Analysis_Commune!$D43,'Raw Data'!$N$2:$N$92,Analysis_Commune!F$4)</f>
        <v>0</v>
      </c>
    </row>
    <row r="44" spans="1:6">
      <c r="A44" s="99" t="s">
        <v>414</v>
      </c>
      <c r="B44" s="99" t="s">
        <v>401</v>
      </c>
      <c r="C44" s="99" t="s">
        <v>427</v>
      </c>
      <c r="D44" s="99" t="s">
        <v>338</v>
      </c>
      <c r="E44" s="99">
        <f>COUNTIFS('Raw Data'!$I$2:$I$92,Analysis_Commune!$B44,'Raw Data'!$D$2:$D$92,Analysis_Commune!$D44,'Raw Data'!$N$2:$N$92,Analysis_Commune!E$4)</f>
        <v>0</v>
      </c>
      <c r="F44" s="99">
        <f>COUNTIFS('Raw Data'!$I$2:$I$92,Analysis_Commune!$B44,'Raw Data'!$D$2:$D$92,Analysis_Commune!$D44,'Raw Data'!$N$2:$N$92,Analysis_Commune!F$4)</f>
        <v>0</v>
      </c>
    </row>
    <row r="45" spans="1:6">
      <c r="A45" s="99" t="s">
        <v>414</v>
      </c>
      <c r="B45" s="99" t="s">
        <v>386</v>
      </c>
      <c r="C45" s="99" t="s">
        <v>427</v>
      </c>
      <c r="D45" s="99" t="s">
        <v>338</v>
      </c>
      <c r="E45" s="99">
        <f>COUNTIFS('Raw Data'!$I$2:$I$92,Analysis_Commune!$B45,'Raw Data'!$D$2:$D$92,Analysis_Commune!$D45,'Raw Data'!$N$2:$N$92,Analysis_Commune!E$4)</f>
        <v>0</v>
      </c>
      <c r="F45" s="99">
        <f>COUNTIFS('Raw Data'!$I$2:$I$92,Analysis_Commune!$B45,'Raw Data'!$D$2:$D$92,Analysis_Commune!$D45,'Raw Data'!$N$2:$N$92,Analysis_Commune!F$4)</f>
        <v>0</v>
      </c>
    </row>
    <row r="46" spans="1:6">
      <c r="A46" s="99" t="s">
        <v>414</v>
      </c>
      <c r="B46" s="99" t="s">
        <v>384</v>
      </c>
      <c r="C46" s="99" t="s">
        <v>427</v>
      </c>
      <c r="D46" s="99" t="s">
        <v>338</v>
      </c>
      <c r="E46" s="99">
        <f>COUNTIFS('Raw Data'!$I$2:$I$92,Analysis_Commune!$B46,'Raw Data'!$D$2:$D$92,Analysis_Commune!$D46,'Raw Data'!$N$2:$N$92,Analysis_Commune!E$4)</f>
        <v>0</v>
      </c>
      <c r="F46" s="99">
        <f>COUNTIFS('Raw Data'!$I$2:$I$92,Analysis_Commune!$B46,'Raw Data'!$D$2:$D$92,Analysis_Commune!$D46,'Raw Data'!$N$2:$N$92,Analysis_Commune!F$4)</f>
        <v>0</v>
      </c>
    </row>
    <row r="47" spans="1:6">
      <c r="A47" s="99" t="s">
        <v>414</v>
      </c>
      <c r="B47" s="99" t="s">
        <v>389</v>
      </c>
      <c r="C47" s="99" t="s">
        <v>427</v>
      </c>
      <c r="D47" s="99" t="s">
        <v>338</v>
      </c>
      <c r="E47" s="99">
        <f>COUNTIFS('Raw Data'!$I$2:$I$92,Analysis_Commune!$B47,'Raw Data'!$D$2:$D$92,Analysis_Commune!$D47,'Raw Data'!$N$2:$N$92,Analysis_Commune!E$4)</f>
        <v>0</v>
      </c>
      <c r="F47" s="99">
        <f>COUNTIFS('Raw Data'!$I$2:$I$92,Analysis_Commune!$B47,'Raw Data'!$D$2:$D$92,Analysis_Commune!$D47,'Raw Data'!$N$2:$N$92,Analysis_Commune!F$4)</f>
        <v>0</v>
      </c>
    </row>
    <row r="48" spans="1:6">
      <c r="A48" s="101" t="s">
        <v>428</v>
      </c>
      <c r="B48" s="101"/>
      <c r="C48" s="101"/>
      <c r="D48" s="99"/>
      <c r="E48" s="99">
        <f>SUM(E40:E47)</f>
        <v>3</v>
      </c>
      <c r="F48" s="99">
        <f>SUM(F40:F47)</f>
        <v>0</v>
      </c>
    </row>
    <row r="49" spans="1:6">
      <c r="A49" s="101" t="s">
        <v>339</v>
      </c>
      <c r="B49" s="101"/>
      <c r="C49" s="101"/>
      <c r="D49" s="99"/>
      <c r="E49" s="105">
        <f>SUMIF($A30:$A48,"Sous-total",E30:E48)</f>
        <v>19</v>
      </c>
      <c r="F49" s="105">
        <f>SUMIF($A30:$A48,"Sous-total",F30:F48)</f>
        <v>3</v>
      </c>
    </row>
  </sheetData>
  <mergeCells count="8">
    <mergeCell ref="A2:A3"/>
    <mergeCell ref="B2:B3"/>
    <mergeCell ref="D2:D3"/>
    <mergeCell ref="A27:A28"/>
    <mergeCell ref="B27:B28"/>
    <mergeCell ref="D27:D28"/>
    <mergeCell ref="C2:C3"/>
    <mergeCell ref="C27:C28"/>
  </mergeCells>
  <phoneticPr fontId="15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14B9-1115-476C-BD29-968FD60F7F24}">
  <dimension ref="A1:Y110"/>
  <sheetViews>
    <sheetView zoomScale="98" zoomScaleNormal="98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Y69" sqref="Y69"/>
    </sheetView>
  </sheetViews>
  <sheetFormatPr baseColWidth="10" defaultColWidth="11.453125" defaultRowHeight="15.5"/>
  <cols>
    <col min="1" max="1" width="9.6328125" style="4" customWidth="1"/>
    <col min="2" max="2" width="16.453125" style="1" customWidth="1"/>
    <col min="3" max="3" width="30.90625" style="1" customWidth="1"/>
    <col min="4" max="4" width="21.36328125" style="1" customWidth="1"/>
    <col min="5" max="5" width="22.453125" style="1" customWidth="1"/>
    <col min="6" max="6" width="19.90625" style="1" bestFit="1" customWidth="1"/>
    <col min="7" max="7" width="23.453125" style="1" bestFit="1" customWidth="1"/>
    <col min="8" max="8" width="13.08984375" style="3" customWidth="1"/>
    <col min="9" max="9" width="21.36328125" style="1" customWidth="1"/>
    <col min="10" max="10" width="14.90625" style="1" customWidth="1"/>
    <col min="11" max="11" width="16.453125" style="3" customWidth="1"/>
    <col min="12" max="13" width="13.08984375" style="5" customWidth="1"/>
    <col min="14" max="14" width="13.08984375" style="1" customWidth="1"/>
    <col min="15" max="15" width="11.453125" style="1"/>
    <col min="16" max="17" width="15.81640625" style="1" customWidth="1"/>
    <col min="18" max="18" width="11.453125" style="1"/>
    <col min="19" max="20" width="15.81640625" style="1" customWidth="1"/>
    <col min="21" max="21" width="11.453125" style="1"/>
    <col min="22" max="22" width="37.81640625" style="1" customWidth="1"/>
    <col min="23" max="23" width="11.453125" style="1"/>
    <col min="24" max="24" width="37.81640625" style="1" customWidth="1"/>
    <col min="25" max="16384" width="11.453125" style="1"/>
  </cols>
  <sheetData>
    <row r="1" spans="1:25" ht="16" thickBot="1">
      <c r="P1" s="126" t="s">
        <v>337</v>
      </c>
      <c r="Q1" s="126"/>
      <c r="S1" s="126" t="s">
        <v>338</v>
      </c>
      <c r="T1" s="126"/>
      <c r="V1" s="127" t="s">
        <v>430</v>
      </c>
      <c r="W1" s="127"/>
      <c r="X1" s="127" t="s">
        <v>433</v>
      </c>
      <c r="Y1" s="127"/>
    </row>
    <row r="2" spans="1:25" s="36" customFormat="1" ht="21.5" thickBot="1">
      <c r="A2" s="59" t="s">
        <v>0</v>
      </c>
      <c r="B2" s="60" t="s">
        <v>408</v>
      </c>
      <c r="C2" s="61" t="s">
        <v>2</v>
      </c>
      <c r="D2" s="61" t="s">
        <v>421</v>
      </c>
      <c r="E2" s="61" t="s">
        <v>4</v>
      </c>
      <c r="F2" s="61" t="s">
        <v>5</v>
      </c>
      <c r="G2" s="61" t="s">
        <v>6</v>
      </c>
      <c r="H2" s="61" t="s">
        <v>7</v>
      </c>
      <c r="I2" s="61" t="s">
        <v>8</v>
      </c>
      <c r="J2" s="61" t="s">
        <v>197</v>
      </c>
      <c r="K2" s="61" t="s">
        <v>9</v>
      </c>
      <c r="L2" s="61" t="s">
        <v>10</v>
      </c>
      <c r="M2" s="62" t="s">
        <v>251</v>
      </c>
      <c r="N2" s="62" t="s">
        <v>11</v>
      </c>
      <c r="P2" s="124" t="s">
        <v>431</v>
      </c>
      <c r="Q2" s="124" t="s">
        <v>432</v>
      </c>
      <c r="S2" s="124" t="s">
        <v>431</v>
      </c>
      <c r="T2" s="124" t="s">
        <v>432</v>
      </c>
      <c r="V2" s="128" t="s">
        <v>434</v>
      </c>
      <c r="W2" s="128" t="s">
        <v>435</v>
      </c>
      <c r="X2" s="128" t="s">
        <v>434</v>
      </c>
      <c r="Y2" s="128" t="s">
        <v>435</v>
      </c>
    </row>
    <row r="3" spans="1:25" s="2" customFormat="1" ht="31">
      <c r="A3" s="65" t="s">
        <v>81</v>
      </c>
      <c r="B3" s="66" t="s">
        <v>406</v>
      </c>
      <c r="C3" s="66" t="s">
        <v>326</v>
      </c>
      <c r="D3" s="66" t="s">
        <v>335</v>
      </c>
      <c r="E3" s="66" t="s">
        <v>50</v>
      </c>
      <c r="F3" s="66" t="s">
        <v>341</v>
      </c>
      <c r="G3" s="66" t="s">
        <v>177</v>
      </c>
      <c r="H3" s="67">
        <v>775567586</v>
      </c>
      <c r="I3" s="78" t="s">
        <v>423</v>
      </c>
      <c r="J3" s="66" t="s">
        <v>200</v>
      </c>
      <c r="K3" s="67">
        <v>2021</v>
      </c>
      <c r="L3" s="67" t="s">
        <v>117</v>
      </c>
      <c r="M3" s="67" t="s">
        <v>259</v>
      </c>
      <c r="N3" s="66" t="s">
        <v>355</v>
      </c>
      <c r="O3" s="57"/>
      <c r="P3" s="125" t="str" cm="1">
        <f t="array" ref="P3">IFERROR(_xlfn._xlws.FILTER(E3,D3="Tractor"),"")</f>
        <v/>
      </c>
      <c r="Q3" s="124" t="str" cm="1">
        <f t="array" ref="Q3:Q66">_xlfn.UNIQUE(P3:P93)</f>
        <v/>
      </c>
      <c r="S3" s="125" t="str" cm="1">
        <f t="array" ref="S3">IFERROR(_xlfn._xlws.FILTER(E3,D3="Combine Harvester"),"")</f>
        <v>Union SP2 Aeré Lao</v>
      </c>
      <c r="T3" s="1" t="str" cm="1">
        <f t="array" ref="T3:T21">_xlfn.UNIQUE(S3:S93)</f>
        <v>Union SP2 Aeré Lao</v>
      </c>
      <c r="V3" s="130" t="s">
        <v>436</v>
      </c>
      <c r="W3" s="129" t="str">
        <f>_xlfn.XLOOKUP(V3,$E$3:$E$93,$F$3:$F$93,"")</f>
        <v>Private</v>
      </c>
      <c r="X3" s="134" t="s">
        <v>50</v>
      </c>
      <c r="Y3" s="129" t="str">
        <f>_xlfn.XLOOKUP(X3,$E$3:$E$93,$F$3:$F$93,"")</f>
        <v>Union</v>
      </c>
    </row>
    <row r="4" spans="1:25" ht="31">
      <c r="A4" s="65" t="s">
        <v>81</v>
      </c>
      <c r="B4" s="66" t="s">
        <v>406</v>
      </c>
      <c r="C4" s="66" t="s">
        <v>22</v>
      </c>
      <c r="D4" s="66" t="s">
        <v>334</v>
      </c>
      <c r="E4" s="66" t="s">
        <v>23</v>
      </c>
      <c r="F4" s="65" t="s">
        <v>342</v>
      </c>
      <c r="G4" s="66" t="s">
        <v>25</v>
      </c>
      <c r="H4" s="67" t="s">
        <v>26</v>
      </c>
      <c r="I4" s="78" t="s">
        <v>423</v>
      </c>
      <c r="J4" s="66" t="s">
        <v>200</v>
      </c>
      <c r="K4" s="67">
        <v>2016</v>
      </c>
      <c r="L4" s="67" t="s">
        <v>28</v>
      </c>
      <c r="M4" s="67"/>
      <c r="N4" s="66" t="s">
        <v>355</v>
      </c>
      <c r="O4" s="57"/>
      <c r="P4" s="125" t="str" cm="1">
        <f t="array" ref="P4">IFERROR(_xlfn._xlws.FILTER(E4,D4="Tractor"),"")</f>
        <v>PELLITAL (prestataire Aéré)</v>
      </c>
      <c r="Q4" s="1" t="str">
        <v>PELLITAL (prestataire Aéré)</v>
      </c>
      <c r="S4" s="125" t="str" cm="1">
        <f t="array" ref="S4">IFERROR(_xlfn._xlws.FILTER(E4,D4="Combine Harvester"),"")</f>
        <v/>
      </c>
      <c r="T4" s="1" t="str">
        <v/>
      </c>
      <c r="V4" s="130" t="s">
        <v>437</v>
      </c>
      <c r="W4" s="129" t="str">
        <f t="shared" ref="W4:W66" si="0">_xlfn.XLOOKUP(V4,$E$3:$E$93,$F$3:$F$93,"")</f>
        <v>Union</v>
      </c>
      <c r="X4" s="134" t="s">
        <v>207</v>
      </c>
      <c r="Y4" s="129" t="str">
        <f t="shared" ref="Y4:Y20" si="1">_xlfn.XLOOKUP(X4,$E$3:$E$93,$F$3:$F$93,"")</f>
        <v>Union</v>
      </c>
    </row>
    <row r="5" spans="1:25" ht="31">
      <c r="A5" s="65" t="s">
        <v>81</v>
      </c>
      <c r="B5" s="66" t="s">
        <v>406</v>
      </c>
      <c r="C5" s="66" t="s">
        <v>192</v>
      </c>
      <c r="D5" s="66" t="s">
        <v>334</v>
      </c>
      <c r="E5" s="111" t="s">
        <v>207</v>
      </c>
      <c r="F5" s="65" t="s">
        <v>341</v>
      </c>
      <c r="G5" s="65" t="s">
        <v>177</v>
      </c>
      <c r="H5" s="112" t="s">
        <v>208</v>
      </c>
      <c r="I5" s="78" t="s">
        <v>423</v>
      </c>
      <c r="J5" s="65" t="s">
        <v>200</v>
      </c>
      <c r="K5" s="89">
        <v>2024</v>
      </c>
      <c r="L5" s="89" t="s">
        <v>182</v>
      </c>
      <c r="M5" s="89" t="s">
        <v>259</v>
      </c>
      <c r="N5" s="65" t="s">
        <v>355</v>
      </c>
      <c r="O5" s="57"/>
      <c r="P5" s="125" t="str" cm="1">
        <f t="array" ref="P5">IFERROR(_xlfn._xlws.FILTER(E5,D5="Tractor"),"")</f>
        <v>Union des GIE de Aéré Lao SP 2</v>
      </c>
      <c r="Q5" s="1" t="str">
        <v>Union des GIE de Aéré Lao SP 2</v>
      </c>
      <c r="S5" s="125" t="str" cm="1">
        <f t="array" ref="S5">IFERROR(_xlfn._xlws.FILTER(E5,D5="Combine Harvester"),"")</f>
        <v/>
      </c>
      <c r="T5" s="1" t="str">
        <v>Union des GIE de Aéré Lao SP 2</v>
      </c>
      <c r="V5" s="130" t="s">
        <v>35</v>
      </c>
      <c r="W5" s="129" t="str">
        <f t="shared" si="0"/>
        <v>Private</v>
      </c>
      <c r="X5" s="134" t="s">
        <v>116</v>
      </c>
      <c r="Y5" s="129" t="str">
        <f t="shared" si="1"/>
        <v>Union</v>
      </c>
    </row>
    <row r="6" spans="1:25" ht="31">
      <c r="A6" s="65" t="s">
        <v>81</v>
      </c>
      <c r="B6" s="66" t="s">
        <v>406</v>
      </c>
      <c r="C6" s="66" t="s">
        <v>203</v>
      </c>
      <c r="D6" s="65" t="s">
        <v>335</v>
      </c>
      <c r="E6" s="111" t="s">
        <v>207</v>
      </c>
      <c r="F6" s="78" t="s">
        <v>341</v>
      </c>
      <c r="G6" s="65" t="s">
        <v>177</v>
      </c>
      <c r="H6" s="112" t="s">
        <v>208</v>
      </c>
      <c r="I6" s="78" t="s">
        <v>423</v>
      </c>
      <c r="J6" s="65" t="s">
        <v>200</v>
      </c>
      <c r="K6" s="89">
        <v>2024</v>
      </c>
      <c r="L6" s="89" t="s">
        <v>182</v>
      </c>
      <c r="M6" s="89" t="s">
        <v>259</v>
      </c>
      <c r="N6" s="65" t="s">
        <v>355</v>
      </c>
      <c r="O6" s="57"/>
      <c r="P6" s="125" t="str" cm="1">
        <f t="array" ref="P6">IFERROR(_xlfn._xlws.FILTER(E6,D6="Tractor"),"")</f>
        <v/>
      </c>
      <c r="Q6" s="1" t="str">
        <v>GIE BIDIEW</v>
      </c>
      <c r="S6" s="125" t="str" cm="1">
        <f t="array" ref="S6">IFERROR(_xlfn._xlws.FILTER(E6,D6="Combine Harvester"),"")</f>
        <v>Union des GIE de Aéré Lao SP 2</v>
      </c>
      <c r="T6" s="1" t="str">
        <v>FUGIAM</v>
      </c>
      <c r="V6" s="130" t="s">
        <v>43</v>
      </c>
      <c r="W6" s="129" t="str">
        <f t="shared" si="0"/>
        <v>Union</v>
      </c>
      <c r="X6" s="134" t="s">
        <v>213</v>
      </c>
      <c r="Y6" s="129" t="str">
        <f t="shared" si="1"/>
        <v>Union</v>
      </c>
    </row>
    <row r="7" spans="1:25" ht="31">
      <c r="A7" s="75" t="s">
        <v>81</v>
      </c>
      <c r="B7" s="66" t="s">
        <v>406</v>
      </c>
      <c r="C7" s="76" t="s">
        <v>307</v>
      </c>
      <c r="D7" s="66" t="s">
        <v>334</v>
      </c>
      <c r="E7" s="76" t="s">
        <v>35</v>
      </c>
      <c r="F7" s="65" t="s">
        <v>342</v>
      </c>
      <c r="G7" s="76" t="s">
        <v>308</v>
      </c>
      <c r="H7" s="113"/>
      <c r="I7" s="78" t="s">
        <v>423</v>
      </c>
      <c r="J7" s="76" t="s">
        <v>200</v>
      </c>
      <c r="K7" s="77">
        <v>2019</v>
      </c>
      <c r="L7" s="77" t="s">
        <v>182</v>
      </c>
      <c r="M7" s="116"/>
      <c r="N7" s="75" t="s">
        <v>355</v>
      </c>
      <c r="O7" s="57"/>
      <c r="P7" s="125" t="str" cm="1">
        <f t="array" ref="P7">IFERROR(_xlfn._xlws.FILTER(E7,D7="Tractor"),"")</f>
        <v>GIE BIDIEW</v>
      </c>
      <c r="Q7" s="1" t="str">
        <v>UNION YIRLAABE THIKITE</v>
      </c>
      <c r="S7" s="125" t="str" cm="1">
        <f t="array" ref="S7">IFERROR(_xlfn._xlws.FILTER(E7,D7="Combine Harvester"),"")</f>
        <v/>
      </c>
      <c r="T7" s="1" t="str">
        <v>Union des Produceurs et Agriculteurs de Diatar</v>
      </c>
      <c r="V7" s="130" t="s">
        <v>195</v>
      </c>
      <c r="W7" s="129" t="str">
        <f t="shared" si="0"/>
        <v>Union</v>
      </c>
      <c r="X7" s="134" t="s">
        <v>89</v>
      </c>
      <c r="Y7" s="129" t="str">
        <f t="shared" si="1"/>
        <v>Private</v>
      </c>
    </row>
    <row r="8" spans="1:25" ht="31">
      <c r="A8" s="65" t="s">
        <v>81</v>
      </c>
      <c r="B8" s="66" t="s">
        <v>406</v>
      </c>
      <c r="C8" s="66" t="s">
        <v>22</v>
      </c>
      <c r="D8" s="66" t="s">
        <v>334</v>
      </c>
      <c r="E8" s="66" t="s">
        <v>43</v>
      </c>
      <c r="F8" s="66" t="s">
        <v>341</v>
      </c>
      <c r="G8" s="66" t="s">
        <v>44</v>
      </c>
      <c r="H8" s="67" t="s">
        <v>45</v>
      </c>
      <c r="I8" s="66" t="s">
        <v>398</v>
      </c>
      <c r="J8" s="66" t="s">
        <v>200</v>
      </c>
      <c r="K8" s="67">
        <v>2015</v>
      </c>
      <c r="L8" s="67" t="s">
        <v>28</v>
      </c>
      <c r="M8" s="67"/>
      <c r="N8" s="66" t="s">
        <v>357</v>
      </c>
      <c r="O8" s="57"/>
      <c r="P8" s="125" t="str" cm="1">
        <f t="array" ref="P8">IFERROR(_xlfn._xlws.FILTER(E8,D8="Tractor"),"")</f>
        <v>UNION YIRLAABE THIKITE</v>
      </c>
      <c r="Q8" s="1" t="str">
        <v>Union des GIE Yirlabé Saldé Ouallah</v>
      </c>
      <c r="S8" s="125" t="str" cm="1">
        <f t="array" ref="S8">IFERROR(_xlfn._xlws.FILTER(E8,D8="Combine Harvester"),"")</f>
        <v/>
      </c>
      <c r="T8" s="1" t="str">
        <v>Boumatt Agro fresh  ABDOU SALL</v>
      </c>
      <c r="V8" s="130" t="s">
        <v>253</v>
      </c>
      <c r="W8" s="129" t="str">
        <f t="shared" si="0"/>
        <v>Union</v>
      </c>
      <c r="X8" s="134" t="s">
        <v>92</v>
      </c>
      <c r="Y8" s="129" t="str">
        <f t="shared" si="1"/>
        <v>Private</v>
      </c>
    </row>
    <row r="9" spans="1:25" ht="31">
      <c r="A9" s="65" t="s">
        <v>81</v>
      </c>
      <c r="B9" s="66" t="s">
        <v>406</v>
      </c>
      <c r="C9" s="66" t="s">
        <v>192</v>
      </c>
      <c r="D9" s="66" t="s">
        <v>334</v>
      </c>
      <c r="E9" s="111" t="s">
        <v>195</v>
      </c>
      <c r="F9" s="65" t="s">
        <v>341</v>
      </c>
      <c r="G9" s="65"/>
      <c r="H9" s="112" t="s">
        <v>196</v>
      </c>
      <c r="I9" s="66" t="s">
        <v>398</v>
      </c>
      <c r="J9" s="65" t="s">
        <v>198</v>
      </c>
      <c r="K9" s="89">
        <v>2024</v>
      </c>
      <c r="L9" s="89" t="s">
        <v>182</v>
      </c>
      <c r="M9" s="89"/>
      <c r="N9" s="66" t="s">
        <v>355</v>
      </c>
      <c r="O9" s="57"/>
      <c r="P9" s="125" t="str" cm="1">
        <f t="array" ref="P9">IFERROR(_xlfn._xlws.FILTER(E9,D9="Tractor"),"")</f>
        <v>Union des GIE Yirlabé Saldé Ouallah</v>
      </c>
      <c r="Q9" s="1" t="str">
        <v>UAI 4 SALDE</v>
      </c>
      <c r="S9" s="125" t="str" cm="1">
        <f t="array" ref="S9">IFERROR(_xlfn._xlws.FILTER(E9,D9="Combine Harvester"),"")</f>
        <v/>
      </c>
      <c r="T9" s="1" t="str">
        <v>GIE Diokere Endam MOUSSA HAROUNA LY</v>
      </c>
      <c r="V9" s="130" t="s">
        <v>255</v>
      </c>
      <c r="W9" s="129" t="str">
        <f t="shared" si="0"/>
        <v>Union</v>
      </c>
      <c r="X9" s="135" t="s">
        <v>64</v>
      </c>
      <c r="Y9" s="129" t="str">
        <f t="shared" si="1"/>
        <v>Union</v>
      </c>
    </row>
    <row r="10" spans="1:25" s="31" customFormat="1">
      <c r="A10" s="65" t="s">
        <v>81</v>
      </c>
      <c r="B10" s="66" t="s">
        <v>406</v>
      </c>
      <c r="C10" s="108"/>
      <c r="D10" s="66" t="s">
        <v>334</v>
      </c>
      <c r="E10" s="111" t="s">
        <v>253</v>
      </c>
      <c r="F10" s="78" t="s">
        <v>341</v>
      </c>
      <c r="G10" s="65" t="s">
        <v>254</v>
      </c>
      <c r="H10" s="112">
        <v>774070332</v>
      </c>
      <c r="I10" s="66" t="s">
        <v>398</v>
      </c>
      <c r="J10" s="65" t="s">
        <v>198</v>
      </c>
      <c r="K10" s="89">
        <v>2024</v>
      </c>
      <c r="L10" s="89" t="s">
        <v>182</v>
      </c>
      <c r="M10" s="108" t="s">
        <v>259</v>
      </c>
      <c r="N10" s="65" t="s">
        <v>355</v>
      </c>
      <c r="O10" s="58"/>
      <c r="P10" s="125" t="str" cm="1">
        <f t="array" ref="P10">IFERROR(_xlfn._xlws.FILTER(E10,D10="Tractor"),"")</f>
        <v>UAI 4 SALDE</v>
      </c>
      <c r="Q10" s="31" t="str">
        <v>UNION SALDE</v>
      </c>
      <c r="S10" s="125" t="str" cm="1">
        <f t="array" ref="S10">IFERROR(_xlfn._xlws.FILTER(E10,D10="Combine Harvester"),"")</f>
        <v/>
      </c>
      <c r="T10" s="31" t="str">
        <v>Fédération des GIE de Donaye</v>
      </c>
      <c r="V10" s="132" t="s">
        <v>101</v>
      </c>
      <c r="W10" s="129" t="str">
        <f t="shared" si="0"/>
        <v>Union</v>
      </c>
      <c r="X10" s="134" t="s">
        <v>214</v>
      </c>
      <c r="Y10" s="129" t="str">
        <f t="shared" si="1"/>
        <v>Union</v>
      </c>
    </row>
    <row r="11" spans="1:25" ht="31">
      <c r="A11" s="65" t="s">
        <v>81</v>
      </c>
      <c r="B11" s="66" t="s">
        <v>406</v>
      </c>
      <c r="C11" s="66" t="s">
        <v>192</v>
      </c>
      <c r="D11" s="66" t="s">
        <v>334</v>
      </c>
      <c r="E11" s="111" t="s">
        <v>255</v>
      </c>
      <c r="F11" s="65" t="s">
        <v>341</v>
      </c>
      <c r="G11" s="65" t="s">
        <v>256</v>
      </c>
      <c r="H11" s="112">
        <v>775714906</v>
      </c>
      <c r="I11" s="66" t="s">
        <v>398</v>
      </c>
      <c r="J11" s="65" t="s">
        <v>258</v>
      </c>
      <c r="K11" s="89">
        <v>2024</v>
      </c>
      <c r="L11" s="89" t="s">
        <v>182</v>
      </c>
      <c r="M11" s="108" t="s">
        <v>259</v>
      </c>
      <c r="N11" s="65" t="s">
        <v>355</v>
      </c>
      <c r="O11" s="57"/>
      <c r="P11" s="125" t="str" cm="1">
        <f t="array" ref="P11">IFERROR(_xlfn._xlws.FILTER(E11,D11="Tractor"),"")</f>
        <v>UNION SALDE</v>
      </c>
      <c r="Q11" s="1" t="str">
        <v>Union de Cas-Cas</v>
      </c>
      <c r="S11" s="125" t="str" cm="1">
        <f t="array" ref="S11">IFERROR(_xlfn._xlws.FILTER(E11,D11="Combine Harvester"),"")</f>
        <v/>
      </c>
      <c r="T11" s="1" t="str">
        <v>Union des PIV de  Guédé</v>
      </c>
      <c r="V11" s="130" t="s">
        <v>105</v>
      </c>
      <c r="W11" s="129" t="str">
        <f t="shared" si="0"/>
        <v>Union</v>
      </c>
      <c r="X11" s="134" t="s">
        <v>41</v>
      </c>
      <c r="Y11" s="129" t="str">
        <f t="shared" si="1"/>
        <v>Union</v>
      </c>
    </row>
    <row r="12" spans="1:25" ht="31">
      <c r="A12" s="65" t="s">
        <v>81</v>
      </c>
      <c r="B12" s="66" t="s">
        <v>406</v>
      </c>
      <c r="C12" s="66" t="s">
        <v>326</v>
      </c>
      <c r="D12" s="66" t="s">
        <v>335</v>
      </c>
      <c r="E12" s="66" t="s">
        <v>116</v>
      </c>
      <c r="F12" s="66" t="s">
        <v>341</v>
      </c>
      <c r="G12" s="66" t="s">
        <v>118</v>
      </c>
      <c r="H12" s="67">
        <v>775715290</v>
      </c>
      <c r="I12" s="66" t="s">
        <v>394</v>
      </c>
      <c r="J12" s="66" t="s">
        <v>200</v>
      </c>
      <c r="K12" s="67">
        <v>2019</v>
      </c>
      <c r="L12" s="67" t="s">
        <v>28</v>
      </c>
      <c r="M12" s="67"/>
      <c r="N12" s="66" t="s">
        <v>355</v>
      </c>
      <c r="O12" s="57"/>
      <c r="P12" s="125" t="str" cm="1">
        <f t="array" ref="P12">IFERROR(_xlfn._xlws.FILTER(E12,D12="Tractor"),"")</f>
        <v/>
      </c>
      <c r="Q12" s="1" t="str">
        <v>UNION DES GIE DU VILLAGE DE CAS -CAS</v>
      </c>
      <c r="S12" s="125" t="str" cm="1">
        <f t="array" ref="S12">IFERROR(_xlfn._xlws.FILTER(E12,D12="Combine Harvester"),"")</f>
        <v>FUGIAM</v>
      </c>
      <c r="T12" s="1" t="str">
        <v xml:space="preserve"> UNION NDIOUM SP1</v>
      </c>
      <c r="V12" s="130" t="s">
        <v>107</v>
      </c>
      <c r="W12" s="129" t="str">
        <f t="shared" si="0"/>
        <v>Union</v>
      </c>
      <c r="X12" s="134" t="s">
        <v>211</v>
      </c>
      <c r="Y12" s="129" t="str">
        <f t="shared" si="1"/>
        <v>Union</v>
      </c>
    </row>
    <row r="13" spans="1:25" ht="42">
      <c r="A13" s="65" t="s">
        <v>81</v>
      </c>
      <c r="B13" s="66" t="s">
        <v>406</v>
      </c>
      <c r="C13" s="18" t="s">
        <v>56</v>
      </c>
      <c r="D13" s="66" t="s">
        <v>334</v>
      </c>
      <c r="E13" s="66" t="s">
        <v>101</v>
      </c>
      <c r="F13" s="66" t="s">
        <v>341</v>
      </c>
      <c r="G13" s="66" t="s">
        <v>102</v>
      </c>
      <c r="H13" s="67" t="s">
        <v>103</v>
      </c>
      <c r="I13" s="66" t="s">
        <v>394</v>
      </c>
      <c r="J13" s="66" t="s">
        <v>200</v>
      </c>
      <c r="K13" s="67">
        <v>2014</v>
      </c>
      <c r="L13" s="67" t="s">
        <v>18</v>
      </c>
      <c r="M13" s="67"/>
      <c r="N13" s="79" t="s">
        <v>357</v>
      </c>
      <c r="O13" s="57"/>
      <c r="P13" s="125" t="str" cm="1">
        <f t="array" ref="P13">IFERROR(_xlfn._xlws.FILTER(E13,D13="Tractor"),"")</f>
        <v>Union de Cas-Cas</v>
      </c>
      <c r="Q13" s="1" t="str">
        <v>UNION GIE DE THIOUBALEL</v>
      </c>
      <c r="S13" s="125" t="str" cm="1">
        <f t="array" ref="S13">IFERROR(_xlfn._xlws.FILTER(E13,D13="Combine Harvester"),"")</f>
        <v/>
      </c>
      <c r="T13" s="1" t="str">
        <v>Union des GIE SP2 de Ndioum</v>
      </c>
      <c r="V13" s="130" t="s">
        <v>189</v>
      </c>
      <c r="W13" s="129" t="str">
        <f t="shared" si="0"/>
        <v>Private</v>
      </c>
      <c r="X13" s="136" t="s">
        <v>167</v>
      </c>
      <c r="Y13" s="129" t="str">
        <f t="shared" si="1"/>
        <v>Union</v>
      </c>
    </row>
    <row r="14" spans="1:25" s="36" customFormat="1" ht="46.5">
      <c r="A14" s="86" t="s">
        <v>81</v>
      </c>
      <c r="B14" s="79" t="s">
        <v>406</v>
      </c>
      <c r="C14" s="87" t="s">
        <v>178</v>
      </c>
      <c r="D14" s="66" t="s">
        <v>334</v>
      </c>
      <c r="E14" s="87" t="s">
        <v>105</v>
      </c>
      <c r="F14" s="79" t="s">
        <v>341</v>
      </c>
      <c r="G14" s="87" t="s">
        <v>106</v>
      </c>
      <c r="H14" s="88">
        <v>775399560</v>
      </c>
      <c r="I14" s="66" t="s">
        <v>394</v>
      </c>
      <c r="J14" s="87" t="s">
        <v>200</v>
      </c>
      <c r="K14" s="88">
        <v>2018</v>
      </c>
      <c r="L14" s="88" t="s">
        <v>28</v>
      </c>
      <c r="M14" s="88"/>
      <c r="N14" s="87" t="s">
        <v>357</v>
      </c>
      <c r="P14" s="125" t="str" cm="1">
        <f t="array" ref="P14">IFERROR(_xlfn._xlws.FILTER(E14,D14="Tractor"),"")</f>
        <v>UNION DES GIE DU VILLAGE DE CAS -CAS</v>
      </c>
      <c r="Q14" s="36" t="str">
        <v>FRA PSE</v>
      </c>
      <c r="S14" s="125" t="str" cm="1">
        <f t="array" ref="S14">IFERROR(_xlfn._xlws.FILTER(E14,D14="Combine Harvester"),"")</f>
        <v/>
      </c>
      <c r="T14" s="36" t="str">
        <v>Union Ngoro Fanaye SP1</v>
      </c>
      <c r="V14" s="130" t="s">
        <v>30</v>
      </c>
      <c r="W14" s="129" t="str">
        <f t="shared" si="0"/>
        <v>Union</v>
      </c>
      <c r="X14" s="134" t="s">
        <v>212</v>
      </c>
      <c r="Y14" s="129" t="str">
        <f t="shared" si="1"/>
        <v>Union</v>
      </c>
    </row>
    <row r="15" spans="1:25" ht="31">
      <c r="A15" s="86" t="s">
        <v>81</v>
      </c>
      <c r="B15" s="79" t="s">
        <v>406</v>
      </c>
      <c r="C15" s="87" t="s">
        <v>34</v>
      </c>
      <c r="D15" s="66" t="s">
        <v>334</v>
      </c>
      <c r="E15" s="87" t="s">
        <v>107</v>
      </c>
      <c r="F15" s="79" t="s">
        <v>341</v>
      </c>
      <c r="G15" s="87" t="s">
        <v>108</v>
      </c>
      <c r="H15" s="88">
        <v>775624283</v>
      </c>
      <c r="I15" s="66" t="s">
        <v>394</v>
      </c>
      <c r="J15" s="87" t="s">
        <v>200</v>
      </c>
      <c r="K15" s="88">
        <v>2018</v>
      </c>
      <c r="L15" s="88" t="s">
        <v>28</v>
      </c>
      <c r="M15" s="88"/>
      <c r="N15" s="65" t="s">
        <v>355</v>
      </c>
      <c r="O15" s="57"/>
      <c r="P15" s="125" t="str" cm="1">
        <f t="array" ref="P15">IFERROR(_xlfn._xlws.FILTER(E15,D15="Tractor"),"")</f>
        <v>UNION GIE DE THIOUBALEL</v>
      </c>
      <c r="Q15" s="1" t="str">
        <v>UNION MBOLO BIRANE</v>
      </c>
      <c r="S15" s="125" t="str" cm="1">
        <f t="array" ref="S15">IFERROR(_xlfn._xlws.FILTER(E15,D15="Combine Harvester"),"")</f>
        <v/>
      </c>
      <c r="T15" s="1" t="str">
        <v xml:space="preserve">Union des GIE de Ngoro Fanaye, </v>
      </c>
      <c r="V15" s="130" t="s">
        <v>46</v>
      </c>
      <c r="W15" s="129" t="str">
        <f t="shared" si="0"/>
        <v>Union</v>
      </c>
      <c r="X15" s="135" t="s">
        <v>273</v>
      </c>
      <c r="Y15" s="129" t="str">
        <f t="shared" si="1"/>
        <v>Cooperative</v>
      </c>
    </row>
    <row r="16" spans="1:25" s="31" customFormat="1" ht="31">
      <c r="A16" s="78" t="s">
        <v>81</v>
      </c>
      <c r="B16" s="79" t="s">
        <v>406</v>
      </c>
      <c r="C16" s="79" t="s">
        <v>191</v>
      </c>
      <c r="D16" s="66" t="s">
        <v>334</v>
      </c>
      <c r="E16" s="78" t="s">
        <v>189</v>
      </c>
      <c r="F16" s="78" t="s">
        <v>342</v>
      </c>
      <c r="G16" s="80" t="s">
        <v>188</v>
      </c>
      <c r="H16" s="81" t="s">
        <v>186</v>
      </c>
      <c r="I16" s="66" t="s">
        <v>394</v>
      </c>
      <c r="J16" s="82" t="s">
        <v>200</v>
      </c>
      <c r="K16" s="83">
        <v>2024</v>
      </c>
      <c r="L16" s="83" t="s">
        <v>182</v>
      </c>
      <c r="M16" s="83" t="s">
        <v>259</v>
      </c>
      <c r="N16" s="78" t="s">
        <v>355</v>
      </c>
      <c r="O16" s="58"/>
      <c r="P16" s="125" t="str" cm="1">
        <f t="array" ref="P16">IFERROR(_xlfn._xlws.FILTER(E16,D16="Tractor"),"")</f>
        <v>FRA PSE</v>
      </c>
      <c r="Q16" s="31" t="str">
        <v>Union Djigadji Mery</v>
      </c>
      <c r="S16" s="125" t="str" cm="1">
        <f t="array" ref="S16">IFERROR(_xlfn._xlws.FILTER(E16,D16="Combine Harvester"),"")</f>
        <v/>
      </c>
      <c r="T16" s="31" t="str">
        <v>COOP Toro KOICA</v>
      </c>
      <c r="V16" s="132" t="s">
        <v>318</v>
      </c>
      <c r="W16" s="129" t="str">
        <f t="shared" si="0"/>
        <v>Union</v>
      </c>
      <c r="X16" s="135" t="s">
        <v>291</v>
      </c>
      <c r="Y16" s="129" t="str">
        <f t="shared" si="1"/>
        <v>Private</v>
      </c>
    </row>
    <row r="17" spans="1:25" s="31" customFormat="1" ht="31">
      <c r="A17" s="78" t="s">
        <v>81</v>
      </c>
      <c r="B17" s="79" t="s">
        <v>406</v>
      </c>
      <c r="C17" s="79" t="s">
        <v>22</v>
      </c>
      <c r="D17" s="79" t="s">
        <v>334</v>
      </c>
      <c r="E17" s="79" t="s">
        <v>30</v>
      </c>
      <c r="F17" s="79" t="s">
        <v>341</v>
      </c>
      <c r="G17" s="79" t="s">
        <v>31</v>
      </c>
      <c r="H17" s="94" t="s">
        <v>32</v>
      </c>
      <c r="I17" s="79" t="s">
        <v>396</v>
      </c>
      <c r="J17" s="79" t="s">
        <v>200</v>
      </c>
      <c r="K17" s="94">
        <v>2015</v>
      </c>
      <c r="L17" s="94" t="s">
        <v>28</v>
      </c>
      <c r="M17" s="94"/>
      <c r="N17" s="79" t="s">
        <v>357</v>
      </c>
      <c r="O17" s="58"/>
      <c r="P17" s="125" t="str" cm="1">
        <f t="array" ref="P17">IFERROR(_xlfn._xlws.FILTER(E17,D17="Tractor"),"")</f>
        <v>UNION MBOLO BIRANE</v>
      </c>
      <c r="Q17" s="31" t="str">
        <v>Union des GIE de wodoss</v>
      </c>
      <c r="S17" s="125" t="str" cm="1">
        <f t="array" ref="S17">IFERROR(_xlfn._xlws.FILTER(E17,D17="Combine Harvester"),"")</f>
        <v/>
      </c>
      <c r="T17" s="31" t="str">
        <v>Privé</v>
      </c>
      <c r="V17" s="132" t="s">
        <v>98</v>
      </c>
      <c r="W17" s="129" t="str">
        <f t="shared" si="0"/>
        <v>Private</v>
      </c>
      <c r="X17" s="134" t="s">
        <v>202</v>
      </c>
      <c r="Y17" s="129" t="str">
        <f t="shared" si="1"/>
        <v>Union</v>
      </c>
    </row>
    <row r="18" spans="1:25" ht="31">
      <c r="A18" s="78" t="s">
        <v>81</v>
      </c>
      <c r="B18" s="79" t="s">
        <v>406</v>
      </c>
      <c r="C18" s="79" t="s">
        <v>22</v>
      </c>
      <c r="D18" s="66" t="s">
        <v>334</v>
      </c>
      <c r="E18" s="79" t="s">
        <v>46</v>
      </c>
      <c r="F18" s="79" t="s">
        <v>341</v>
      </c>
      <c r="G18" s="79" t="s">
        <v>47</v>
      </c>
      <c r="H18" s="94" t="s">
        <v>48</v>
      </c>
      <c r="I18" s="79" t="s">
        <v>402</v>
      </c>
      <c r="J18" s="79" t="s">
        <v>200</v>
      </c>
      <c r="K18" s="94">
        <v>2016</v>
      </c>
      <c r="L18" s="94" t="s">
        <v>28</v>
      </c>
      <c r="M18" s="94"/>
      <c r="N18" s="79" t="s">
        <v>355</v>
      </c>
      <c r="O18" s="57"/>
      <c r="P18" s="125" t="str" cm="1">
        <f t="array" ref="P18">IFERROR(_xlfn._xlws.FILTER(E18,D18="Tractor"),"")</f>
        <v>Union Djigadji Mery</v>
      </c>
      <c r="Q18" s="1" t="str">
        <v>Gie WEYNDE DIENG</v>
      </c>
      <c r="S18" s="125" t="str" cm="1">
        <f t="array" ref="S18">IFERROR(_xlfn._xlws.FILTER(E18,D18="Combine Harvester"),"")</f>
        <v/>
      </c>
      <c r="T18" s="1" t="str">
        <v>Union des SUMAS de Nianga</v>
      </c>
      <c r="V18" s="130" t="s">
        <v>14</v>
      </c>
      <c r="W18" s="129" t="str">
        <f t="shared" si="0"/>
        <v>Union</v>
      </c>
      <c r="X18" s="134" t="s">
        <v>162</v>
      </c>
      <c r="Y18" s="129" t="str">
        <f t="shared" si="1"/>
        <v>Private</v>
      </c>
    </row>
    <row r="19" spans="1:25" ht="31">
      <c r="A19" s="78" t="s">
        <v>81</v>
      </c>
      <c r="B19" s="66" t="s">
        <v>406</v>
      </c>
      <c r="C19" s="109" t="s">
        <v>319</v>
      </c>
      <c r="D19" s="66" t="s">
        <v>334</v>
      </c>
      <c r="E19" s="84" t="s">
        <v>318</v>
      </c>
      <c r="F19" s="78" t="s">
        <v>341</v>
      </c>
      <c r="G19" s="78" t="s">
        <v>20</v>
      </c>
      <c r="H19" s="81">
        <v>775128501</v>
      </c>
      <c r="I19" s="78" t="s">
        <v>387</v>
      </c>
      <c r="J19" s="78" t="s">
        <v>198</v>
      </c>
      <c r="K19" s="83">
        <v>2024</v>
      </c>
      <c r="L19" s="83" t="s">
        <v>182</v>
      </c>
      <c r="M19" s="83" t="s">
        <v>259</v>
      </c>
      <c r="N19" s="78" t="s">
        <v>355</v>
      </c>
      <c r="O19" s="57"/>
      <c r="P19" s="125" t="str" cm="1">
        <f t="array" ref="P19">IFERROR(_xlfn._xlws.FILTER(E19,D19="Tractor"),"")</f>
        <v>Union des GIE de wodoss</v>
      </c>
      <c r="Q19" s="1" t="str">
        <v>Union des GIE de Madina</v>
      </c>
      <c r="S19" s="125" t="str" cm="1">
        <f t="array" ref="S19">IFERROR(_xlfn._xlws.FILTER(E19,D19="Combine Harvester"),"")</f>
        <v/>
      </c>
      <c r="T19" s="1" t="str">
        <v>Boubacar Sall</v>
      </c>
      <c r="V19" s="130" t="s">
        <v>119</v>
      </c>
      <c r="W19" s="129" t="str">
        <f t="shared" si="0"/>
        <v>Private</v>
      </c>
      <c r="X19" s="134" t="s">
        <v>171</v>
      </c>
      <c r="Y19" s="129" t="str">
        <f t="shared" si="1"/>
        <v>Union</v>
      </c>
    </row>
    <row r="20" spans="1:25" ht="42">
      <c r="A20" s="78" t="s">
        <v>81</v>
      </c>
      <c r="B20" s="66" t="s">
        <v>406</v>
      </c>
      <c r="C20" s="121" t="s">
        <v>56</v>
      </c>
      <c r="D20" s="66" t="s">
        <v>334</v>
      </c>
      <c r="E20" s="79" t="s">
        <v>98</v>
      </c>
      <c r="F20" s="78" t="s">
        <v>342</v>
      </c>
      <c r="G20" s="79" t="s">
        <v>99</v>
      </c>
      <c r="H20" s="94">
        <v>776465896</v>
      </c>
      <c r="I20" s="79" t="s">
        <v>385</v>
      </c>
      <c r="J20" s="79" t="s">
        <v>200</v>
      </c>
      <c r="K20" s="94">
        <v>2014</v>
      </c>
      <c r="L20" s="94" t="s">
        <v>18</v>
      </c>
      <c r="M20" s="94"/>
      <c r="N20" s="79" t="s">
        <v>357</v>
      </c>
      <c r="O20" s="57"/>
      <c r="P20" s="125" t="str" cm="1">
        <f t="array" ref="P20">IFERROR(_xlfn._xlws.FILTER(E20,D20="Tractor"),"")</f>
        <v>Gie WEYNDE DIENG</v>
      </c>
      <c r="Q20" s="1" t="str">
        <v>GIE FASSE Mouhamadou lamine DJIGO Demette</v>
      </c>
      <c r="S20" s="125" t="str" cm="1">
        <f t="array" ref="S20">IFERROR(_xlfn._xlws.FILTER(E20,D20="Combine Harvester"),"")</f>
        <v/>
      </c>
      <c r="T20" s="1" t="str">
        <v>REFAN/PODOR</v>
      </c>
      <c r="V20" s="130" t="s">
        <v>125</v>
      </c>
      <c r="W20" s="129" t="str">
        <f t="shared" si="0"/>
        <v>Private</v>
      </c>
      <c r="X20" s="134" t="s">
        <v>210</v>
      </c>
      <c r="Y20" s="129" t="str">
        <f t="shared" si="1"/>
        <v>Union</v>
      </c>
    </row>
    <row r="21" spans="1:25" ht="31">
      <c r="A21" s="78" t="s">
        <v>81</v>
      </c>
      <c r="B21" s="79" t="s">
        <v>174</v>
      </c>
      <c r="C21" s="85" t="s">
        <v>12</v>
      </c>
      <c r="D21" s="66" t="s">
        <v>334</v>
      </c>
      <c r="E21" s="79" t="s">
        <v>14</v>
      </c>
      <c r="F21" s="79" t="s">
        <v>341</v>
      </c>
      <c r="G21" s="79" t="s">
        <v>16</v>
      </c>
      <c r="H21" s="94">
        <v>775472784</v>
      </c>
      <c r="I21" s="79" t="s">
        <v>390</v>
      </c>
      <c r="J21" s="79" t="s">
        <v>200</v>
      </c>
      <c r="K21" s="94">
        <v>2014</v>
      </c>
      <c r="L21" s="94" t="s">
        <v>18</v>
      </c>
      <c r="M21" s="94"/>
      <c r="N21" s="79" t="s">
        <v>357</v>
      </c>
      <c r="O21" s="57"/>
      <c r="P21" s="125" t="str" cm="1">
        <f t="array" ref="P21">IFERROR(_xlfn._xlws.FILTER(E21,D21="Tractor"),"")</f>
        <v>Union des GIE de Madina</v>
      </c>
      <c r="Q21" s="1" t="str">
        <v>GIE ELIMANE DOBANGUO Demette</v>
      </c>
      <c r="S21" s="125" t="str" cm="1">
        <f t="array" ref="S21">IFERROR(_xlfn._xlws.FILTER(E21,D21="Combine Harvester"),"")</f>
        <v/>
      </c>
      <c r="T21" s="1" t="str">
        <v>Union GIE pour le Développement Intégré de Niandane</v>
      </c>
      <c r="V21" s="130" t="s">
        <v>184</v>
      </c>
      <c r="W21" s="129" t="str">
        <f t="shared" si="0"/>
        <v>Private</v>
      </c>
      <c r="X21" s="130"/>
      <c r="Y21" s="130"/>
    </row>
    <row r="22" spans="1:25" ht="46.5">
      <c r="A22" s="65" t="s">
        <v>81</v>
      </c>
      <c r="B22" s="66" t="s">
        <v>175</v>
      </c>
      <c r="C22" s="66" t="s">
        <v>22</v>
      </c>
      <c r="D22" s="66" t="s">
        <v>334</v>
      </c>
      <c r="E22" s="66" t="s">
        <v>119</v>
      </c>
      <c r="F22" s="65" t="s">
        <v>342</v>
      </c>
      <c r="G22" s="66" t="s">
        <v>120</v>
      </c>
      <c r="H22" s="67" t="s">
        <v>121</v>
      </c>
      <c r="I22" s="66" t="s">
        <v>405</v>
      </c>
      <c r="J22" s="66" t="s">
        <v>199</v>
      </c>
      <c r="K22" s="67">
        <v>2016</v>
      </c>
      <c r="L22" s="67" t="s">
        <v>28</v>
      </c>
      <c r="M22" s="67"/>
      <c r="N22" s="66" t="s">
        <v>355</v>
      </c>
      <c r="O22"/>
      <c r="P22" s="125" t="str" cm="1">
        <f t="array" ref="P22">IFERROR(_xlfn._xlws.FILTER(E22,D22="Tractor"),"")</f>
        <v>GIE FASSE Mouhamadou lamine DJIGO Demette</v>
      </c>
      <c r="Q22" s="1" t="str">
        <v>RESEPP</v>
      </c>
      <c r="S22" s="125" t="str" cm="1">
        <f t="array" ref="S22">IFERROR(_xlfn._xlws.FILTER(E22,D22="Combine Harvester"),"")</f>
        <v/>
      </c>
      <c r="V22" s="130" t="s">
        <v>291</v>
      </c>
      <c r="W22" s="129" t="str">
        <f t="shared" si="0"/>
        <v>Private</v>
      </c>
      <c r="X22" s="130"/>
      <c r="Y22" s="130"/>
    </row>
    <row r="23" spans="1:25" ht="31">
      <c r="A23" s="65" t="s">
        <v>81</v>
      </c>
      <c r="B23" s="66" t="s">
        <v>175</v>
      </c>
      <c r="C23" s="66" t="s">
        <v>34</v>
      </c>
      <c r="D23" s="66" t="s">
        <v>334</v>
      </c>
      <c r="E23" s="66" t="s">
        <v>125</v>
      </c>
      <c r="F23" s="78" t="s">
        <v>342</v>
      </c>
      <c r="G23" s="66" t="s">
        <v>126</v>
      </c>
      <c r="H23" s="89" t="s">
        <v>241</v>
      </c>
      <c r="I23" s="66" t="s">
        <v>405</v>
      </c>
      <c r="J23" s="66" t="s">
        <v>199</v>
      </c>
      <c r="K23" s="67">
        <v>2019</v>
      </c>
      <c r="L23" s="67" t="s">
        <v>28</v>
      </c>
      <c r="M23" s="67"/>
      <c r="N23" s="66" t="s">
        <v>355</v>
      </c>
      <c r="O23"/>
      <c r="P23" s="125" t="str" cm="1">
        <f t="array" ref="P23">IFERROR(_xlfn._xlws.FILTER(E23,D23="Tractor"),"")</f>
        <v>GIE ELIMANE DOBANGUO Demette</v>
      </c>
      <c r="Q23" s="1" t="str">
        <v>Privé</v>
      </c>
      <c r="S23" s="125" t="str" cm="1">
        <f t="array" ref="S23">IFERROR(_xlfn._xlws.FILTER(E23,D23="Combine Harvester"),"")</f>
        <v/>
      </c>
      <c r="V23" s="130" t="s">
        <v>109</v>
      </c>
      <c r="W23" s="129" t="str">
        <f t="shared" si="0"/>
        <v>Union</v>
      </c>
      <c r="X23" s="130"/>
      <c r="Y23" s="130"/>
    </row>
    <row r="24" spans="1:25" ht="31">
      <c r="A24" s="65" t="s">
        <v>81</v>
      </c>
      <c r="B24" s="65" t="s">
        <v>175</v>
      </c>
      <c r="C24" s="66" t="s">
        <v>191</v>
      </c>
      <c r="D24" s="66" t="s">
        <v>334</v>
      </c>
      <c r="E24" s="65" t="s">
        <v>184</v>
      </c>
      <c r="F24" s="78" t="s">
        <v>342</v>
      </c>
      <c r="G24" s="65" t="s">
        <v>185</v>
      </c>
      <c r="H24" s="89" t="s">
        <v>183</v>
      </c>
      <c r="I24" s="66" t="s">
        <v>405</v>
      </c>
      <c r="J24" s="65" t="s">
        <v>199</v>
      </c>
      <c r="K24" s="89">
        <v>2024</v>
      </c>
      <c r="L24" s="89" t="s">
        <v>182</v>
      </c>
      <c r="M24" s="89"/>
      <c r="N24" s="76" t="s">
        <v>355</v>
      </c>
      <c r="O24"/>
      <c r="P24" s="125" t="str" cm="1">
        <f t="array" ref="P24">IFERROR(_xlfn._xlws.FILTER(E24,D24="Tractor"),"")</f>
        <v>RESEPP</v>
      </c>
      <c r="Q24" s="1" t="str">
        <v>UNION DES GIE DE DEMET</v>
      </c>
      <c r="S24" s="125" t="str" cm="1">
        <f t="array" ref="S24">IFERROR(_xlfn._xlws.FILTER(E24,D24="Combine Harvester"),"")</f>
        <v/>
      </c>
      <c r="V24" s="130" t="s">
        <v>113</v>
      </c>
      <c r="W24" s="129" t="str">
        <f t="shared" si="0"/>
        <v>Private</v>
      </c>
      <c r="X24" s="130"/>
      <c r="Y24" s="130"/>
    </row>
    <row r="25" spans="1:25" ht="31">
      <c r="A25" s="65" t="s">
        <v>81</v>
      </c>
      <c r="B25" s="66" t="s">
        <v>175</v>
      </c>
      <c r="C25" s="66" t="s">
        <v>307</v>
      </c>
      <c r="D25" s="66" t="s">
        <v>334</v>
      </c>
      <c r="E25" s="111" t="s">
        <v>291</v>
      </c>
      <c r="F25" s="65" t="s">
        <v>342</v>
      </c>
      <c r="G25" s="65" t="s">
        <v>311</v>
      </c>
      <c r="H25" s="112" t="s">
        <v>314</v>
      </c>
      <c r="I25" s="65" t="s">
        <v>403</v>
      </c>
      <c r="J25" s="66" t="s">
        <v>199</v>
      </c>
      <c r="K25" s="89">
        <v>2025</v>
      </c>
      <c r="L25" s="108"/>
      <c r="M25" s="108"/>
      <c r="N25" s="65" t="s">
        <v>355</v>
      </c>
      <c r="O25" s="30"/>
      <c r="P25" s="125" t="str" cm="1">
        <f t="array" ref="P25">IFERROR(_xlfn._xlws.FILTER(E25,D25="Tractor"),"")</f>
        <v>Privé</v>
      </c>
      <c r="Q25" s="1" t="str">
        <v>GIE TIMTIMOL(privé)</v>
      </c>
      <c r="S25" s="125" t="str" cm="1">
        <f t="array" ref="S25">IFERROR(_xlfn._xlws.FILTER(E25,D25="Combine Harvester"),"")</f>
        <v/>
      </c>
      <c r="V25" s="130" t="s">
        <v>123</v>
      </c>
      <c r="W25" s="129" t="str">
        <f t="shared" si="0"/>
        <v>Private</v>
      </c>
      <c r="X25" s="130"/>
      <c r="Y25" s="130"/>
    </row>
    <row r="26" spans="1:25" ht="31">
      <c r="A26" s="65" t="s">
        <v>81</v>
      </c>
      <c r="B26" s="66" t="s">
        <v>175</v>
      </c>
      <c r="C26" s="66" t="s">
        <v>307</v>
      </c>
      <c r="D26" s="66" t="s">
        <v>334</v>
      </c>
      <c r="E26" s="65" t="s">
        <v>291</v>
      </c>
      <c r="F26" s="78" t="s">
        <v>342</v>
      </c>
      <c r="G26" s="65" t="s">
        <v>309</v>
      </c>
      <c r="H26" s="65" t="s">
        <v>315</v>
      </c>
      <c r="I26" s="65" t="s">
        <v>403</v>
      </c>
      <c r="J26" s="65" t="s">
        <v>199</v>
      </c>
      <c r="K26" s="89" t="s">
        <v>378</v>
      </c>
      <c r="L26" s="108"/>
      <c r="M26" s="108"/>
      <c r="N26" s="65" t="s">
        <v>355</v>
      </c>
      <c r="O26"/>
      <c r="P26" s="125" t="str" cm="1">
        <f t="array" ref="P26">IFERROR(_xlfn._xlws.FILTER(E26,D26="Tractor"),"")</f>
        <v>Privé</v>
      </c>
      <c r="Q26" s="1" t="str">
        <v>GIE DARA MARABOUT DARA HALAYBE</v>
      </c>
      <c r="S26" s="125" t="str" cm="1">
        <f t="array" ref="S26">IFERROR(_xlfn._xlws.FILTER(E26,D26="Combine Harvester"),"")</f>
        <v/>
      </c>
      <c r="V26" s="130" t="s">
        <v>304</v>
      </c>
      <c r="W26" s="129" t="str">
        <f t="shared" si="0"/>
        <v>Union</v>
      </c>
      <c r="X26" s="130"/>
      <c r="Y26" s="130"/>
    </row>
    <row r="27" spans="1:25" ht="31">
      <c r="A27" s="65" t="s">
        <v>81</v>
      </c>
      <c r="B27" s="66" t="s">
        <v>175</v>
      </c>
      <c r="C27" s="66" t="s">
        <v>22</v>
      </c>
      <c r="D27" s="66" t="s">
        <v>334</v>
      </c>
      <c r="E27" s="66" t="s">
        <v>109</v>
      </c>
      <c r="F27" s="66" t="s">
        <v>341</v>
      </c>
      <c r="G27" s="66" t="s">
        <v>110</v>
      </c>
      <c r="H27" s="67" t="s">
        <v>111</v>
      </c>
      <c r="I27" s="65" t="s">
        <v>403</v>
      </c>
      <c r="J27" s="66" t="s">
        <v>199</v>
      </c>
      <c r="K27" s="67">
        <v>2016</v>
      </c>
      <c r="L27" s="67" t="s">
        <v>28</v>
      </c>
      <c r="M27" s="67"/>
      <c r="N27" s="66" t="s">
        <v>355</v>
      </c>
      <c r="O27" s="42" t="s">
        <v>296</v>
      </c>
      <c r="P27" s="125" t="str" cm="1">
        <f t="array" ref="P27">IFERROR(_xlfn._xlws.FILTER(E27,D27="Tractor"),"")</f>
        <v>UNION DES GIE DE DEMET</v>
      </c>
      <c r="Q27" s="1" t="str">
        <v>Union Diomandou</v>
      </c>
      <c r="S27" s="125" t="str" cm="1">
        <f t="array" ref="S27">IFERROR(_xlfn._xlws.FILTER(E27,D27="Combine Harvester"),"")</f>
        <v/>
      </c>
      <c r="V27" s="130" t="s">
        <v>52</v>
      </c>
      <c r="W27" s="129" t="str">
        <f t="shared" si="0"/>
        <v>Private</v>
      </c>
      <c r="X27" s="130"/>
      <c r="Y27" s="130"/>
    </row>
    <row r="28" spans="1:25" ht="31">
      <c r="A28" s="65" t="s">
        <v>81</v>
      </c>
      <c r="B28" s="66" t="s">
        <v>175</v>
      </c>
      <c r="C28" s="66" t="s">
        <v>22</v>
      </c>
      <c r="D28" s="66" t="s">
        <v>334</v>
      </c>
      <c r="E28" s="66" t="s">
        <v>113</v>
      </c>
      <c r="F28" s="65" t="s">
        <v>342</v>
      </c>
      <c r="G28" s="66" t="s">
        <v>114</v>
      </c>
      <c r="H28" s="67" t="s">
        <v>115</v>
      </c>
      <c r="I28" s="65" t="s">
        <v>403</v>
      </c>
      <c r="J28" s="66" t="s">
        <v>199</v>
      </c>
      <c r="K28" s="67">
        <v>2016</v>
      </c>
      <c r="L28" s="67" t="s">
        <v>28</v>
      </c>
      <c r="M28" s="67"/>
      <c r="N28" s="66" t="s">
        <v>355</v>
      </c>
      <c r="O28" s="42" t="s">
        <v>295</v>
      </c>
      <c r="P28" s="125" t="str" cm="1">
        <f t="array" ref="P28">IFERROR(_xlfn._xlws.FILTER(E28,D28="Tractor"),"")</f>
        <v>GIE TIMTIMOL(privé)</v>
      </c>
      <c r="Q28" s="1" t="str">
        <v>Boumatt Agro fresh</v>
      </c>
      <c r="S28" s="125" t="str" cm="1">
        <f t="array" ref="S28">IFERROR(_xlfn._xlws.FILTER(E28,D28="Combine Harvester"),"")</f>
        <v/>
      </c>
      <c r="V28" s="130" t="s">
        <v>57</v>
      </c>
      <c r="W28" s="129" t="str">
        <f t="shared" si="0"/>
        <v>Union</v>
      </c>
      <c r="X28" s="130"/>
      <c r="Y28" s="130"/>
    </row>
    <row r="29" spans="1:25" ht="46.5">
      <c r="A29" s="65" t="s">
        <v>81</v>
      </c>
      <c r="B29" s="66" t="s">
        <v>175</v>
      </c>
      <c r="C29" s="66" t="s">
        <v>34</v>
      </c>
      <c r="D29" s="66" t="s">
        <v>334</v>
      </c>
      <c r="E29" s="66" t="s">
        <v>123</v>
      </c>
      <c r="F29" s="65" t="s">
        <v>342</v>
      </c>
      <c r="G29" s="66" t="s">
        <v>124</v>
      </c>
      <c r="H29" s="67" t="s">
        <v>240</v>
      </c>
      <c r="I29" s="65" t="s">
        <v>403</v>
      </c>
      <c r="J29" s="66" t="s">
        <v>199</v>
      </c>
      <c r="K29" s="67">
        <v>2018</v>
      </c>
      <c r="L29" s="67" t="s">
        <v>28</v>
      </c>
      <c r="M29" s="67"/>
      <c r="N29" s="66" t="s">
        <v>355</v>
      </c>
      <c r="O29"/>
      <c r="P29" s="125" t="str" cm="1">
        <f t="array" ref="P29">IFERROR(_xlfn._xlws.FILTER(E29,D29="Tractor"),"")</f>
        <v>GIE DARA MARABOUT DARA HALAYBE</v>
      </c>
      <c r="Q29" s="1" t="str">
        <v>Union Guédé Village</v>
      </c>
      <c r="S29" s="125" t="str" cm="1">
        <f t="array" ref="S29">IFERROR(_xlfn._xlws.FILTER(E29,D29="Combine Harvester"),"")</f>
        <v/>
      </c>
      <c r="V29" s="130" t="s">
        <v>64</v>
      </c>
      <c r="W29" s="129" t="str">
        <f t="shared" si="0"/>
        <v>Union</v>
      </c>
      <c r="X29" s="130"/>
      <c r="Y29" s="130"/>
    </row>
    <row r="30" spans="1:25" ht="31">
      <c r="A30" s="65" t="s">
        <v>81</v>
      </c>
      <c r="B30" s="65" t="s">
        <v>175</v>
      </c>
      <c r="C30" s="66" t="s">
        <v>316</v>
      </c>
      <c r="D30" s="66" t="s">
        <v>334</v>
      </c>
      <c r="E30" s="66" t="s">
        <v>304</v>
      </c>
      <c r="F30" s="66" t="s">
        <v>15</v>
      </c>
      <c r="G30" s="66" t="s">
        <v>305</v>
      </c>
      <c r="H30" s="66" t="s">
        <v>306</v>
      </c>
      <c r="I30" s="65" t="s">
        <v>403</v>
      </c>
      <c r="J30" s="66" t="s">
        <v>199</v>
      </c>
      <c r="K30" s="67">
        <v>2024</v>
      </c>
      <c r="L30" s="67" t="s">
        <v>267</v>
      </c>
      <c r="M30" s="108"/>
      <c r="N30" s="66" t="s">
        <v>355</v>
      </c>
      <c r="O30"/>
      <c r="P30" s="125" t="str" cm="1">
        <f t="array" ref="P30">IFERROR(_xlfn._xlws.FILTER(E30,D30="Tractor"),"")</f>
        <v>Union Diomandou</v>
      </c>
      <c r="Q30" s="1" t="str">
        <v>Fédération des GIE de Donaye</v>
      </c>
      <c r="S30" s="125" t="str" cm="1">
        <f t="array" ref="S30">IFERROR(_xlfn._xlws.FILTER(E30,D30="Combine Harvester"),"")</f>
        <v/>
      </c>
      <c r="V30" s="130" t="s">
        <v>67</v>
      </c>
      <c r="W30" s="129" t="str">
        <f t="shared" si="0"/>
        <v>Union</v>
      </c>
      <c r="X30" s="130"/>
      <c r="Y30" s="130"/>
    </row>
    <row r="31" spans="1:25" ht="31">
      <c r="A31" s="65" t="s">
        <v>81</v>
      </c>
      <c r="B31" s="65" t="s">
        <v>175</v>
      </c>
      <c r="C31" s="66" t="s">
        <v>203</v>
      </c>
      <c r="D31" s="65" t="s">
        <v>335</v>
      </c>
      <c r="E31" s="111" t="s">
        <v>213</v>
      </c>
      <c r="F31" s="65" t="s">
        <v>15</v>
      </c>
      <c r="G31" s="65" t="s">
        <v>229</v>
      </c>
      <c r="H31" s="112" t="s">
        <v>231</v>
      </c>
      <c r="I31" s="65" t="s">
        <v>424</v>
      </c>
      <c r="J31" s="65" t="s">
        <v>199</v>
      </c>
      <c r="K31" s="89">
        <v>2024</v>
      </c>
      <c r="L31" s="89" t="s">
        <v>182</v>
      </c>
      <c r="M31" s="89"/>
      <c r="N31" s="66" t="s">
        <v>355</v>
      </c>
      <c r="O31"/>
      <c r="P31" s="125" t="str" cm="1">
        <f t="array" ref="P31">IFERROR(_xlfn._xlws.FILTER(E31,D31="Tractor"),"")</f>
        <v/>
      </c>
      <c r="Q31" s="1" t="str">
        <v>UNION GIE DE DIATTAR</v>
      </c>
      <c r="S31" s="125" t="str" cm="1">
        <f t="array" ref="S31">IFERROR(_xlfn._xlws.FILTER(E31,D31="Combine Harvester"),"")</f>
        <v>Union des Produceurs et Agriculteurs de Diatar</v>
      </c>
      <c r="V31" s="130" t="s">
        <v>70</v>
      </c>
      <c r="W31" s="129" t="str">
        <f t="shared" si="0"/>
        <v>Union</v>
      </c>
      <c r="X31" s="130"/>
      <c r="Y31" s="130"/>
    </row>
    <row r="32" spans="1:25" ht="31">
      <c r="A32" s="65" t="s">
        <v>81</v>
      </c>
      <c r="B32" s="66" t="s">
        <v>175</v>
      </c>
      <c r="C32" s="66" t="s">
        <v>327</v>
      </c>
      <c r="D32" s="66" t="s">
        <v>335</v>
      </c>
      <c r="E32" s="66" t="s">
        <v>89</v>
      </c>
      <c r="F32" s="78" t="s">
        <v>342</v>
      </c>
      <c r="G32" s="66" t="s">
        <v>53</v>
      </c>
      <c r="H32" s="67">
        <v>782115605</v>
      </c>
      <c r="I32" s="65" t="s">
        <v>424</v>
      </c>
      <c r="J32" s="66" t="s">
        <v>199</v>
      </c>
      <c r="K32" s="67">
        <v>2015</v>
      </c>
      <c r="L32" s="67" t="s">
        <v>90</v>
      </c>
      <c r="M32" s="67"/>
      <c r="N32" s="66" t="s">
        <v>355</v>
      </c>
      <c r="O32"/>
      <c r="P32" s="125" t="str" cm="1">
        <f t="array" ref="P32">IFERROR(_xlfn._xlws.FILTER(E32,D32="Tractor"),"")</f>
        <v/>
      </c>
      <c r="Q32" s="1" t="str">
        <v>UNION GUEDE CHANTIER</v>
      </c>
      <c r="S32" s="125" t="str" cm="1">
        <f t="array" ref="S32">IFERROR(_xlfn._xlws.FILTER(E32,D32="Combine Harvester"),"")</f>
        <v>Boumatt Agro fresh  ABDOU SALL</v>
      </c>
      <c r="V32" s="130" t="s">
        <v>74</v>
      </c>
      <c r="W32" s="129" t="str">
        <f t="shared" si="0"/>
        <v>Private</v>
      </c>
      <c r="X32" s="130"/>
      <c r="Y32" s="130"/>
    </row>
    <row r="33" spans="1:25" ht="46.5">
      <c r="A33" s="65" t="s">
        <v>81</v>
      </c>
      <c r="B33" s="66" t="s">
        <v>175</v>
      </c>
      <c r="C33" s="66" t="s">
        <v>91</v>
      </c>
      <c r="D33" s="66" t="s">
        <v>335</v>
      </c>
      <c r="E33" s="66" t="s">
        <v>92</v>
      </c>
      <c r="F33" s="65" t="s">
        <v>342</v>
      </c>
      <c r="G33" s="66" t="s">
        <v>179</v>
      </c>
      <c r="H33" s="67" t="s">
        <v>93</v>
      </c>
      <c r="I33" s="65" t="s">
        <v>424</v>
      </c>
      <c r="J33" s="66" t="s">
        <v>199</v>
      </c>
      <c r="K33" s="67">
        <v>2016</v>
      </c>
      <c r="L33" s="67" t="s">
        <v>28</v>
      </c>
      <c r="M33" s="67"/>
      <c r="N33" s="66" t="s">
        <v>354</v>
      </c>
      <c r="O33"/>
      <c r="P33" s="125" t="str" cm="1">
        <f t="array" ref="P33">IFERROR(_xlfn._xlws.FILTER(E33,D33="Tractor"),"")</f>
        <v/>
      </c>
      <c r="Q33" s="1" t="str">
        <v>SOULEYMANE LY MBOYO (PRIVE)</v>
      </c>
      <c r="S33" s="125" t="str" cm="1">
        <f t="array" ref="S33">IFERROR(_xlfn._xlws.FILTER(E33,D33="Combine Harvester"),"")</f>
        <v>GIE Diokere Endam MOUSSA HAROUNA LY</v>
      </c>
      <c r="V33" s="130" t="s">
        <v>82</v>
      </c>
      <c r="W33" s="129" t="str">
        <f t="shared" si="0"/>
        <v>Union</v>
      </c>
      <c r="X33" s="130"/>
      <c r="Y33" s="130"/>
    </row>
    <row r="34" spans="1:25" ht="31">
      <c r="A34" s="65" t="s">
        <v>81</v>
      </c>
      <c r="B34" s="66" t="s">
        <v>175</v>
      </c>
      <c r="C34" s="66" t="s">
        <v>22</v>
      </c>
      <c r="D34" s="66" t="s">
        <v>334</v>
      </c>
      <c r="E34" s="66" t="s">
        <v>52</v>
      </c>
      <c r="F34" s="78" t="s">
        <v>342</v>
      </c>
      <c r="G34" s="66" t="s">
        <v>53</v>
      </c>
      <c r="H34" s="67" t="s">
        <v>54</v>
      </c>
      <c r="I34" s="65" t="s">
        <v>424</v>
      </c>
      <c r="J34" s="66" t="s">
        <v>199</v>
      </c>
      <c r="K34" s="67">
        <v>2016</v>
      </c>
      <c r="L34" s="67" t="s">
        <v>28</v>
      </c>
      <c r="M34" s="67"/>
      <c r="N34" s="66" t="s">
        <v>354</v>
      </c>
      <c r="O34"/>
      <c r="P34" s="125" t="str" cm="1">
        <f t="array" ref="P34">IFERROR(_xlfn._xlws.FILTER(E34,D34="Tractor"),"")</f>
        <v>Boumatt Agro fresh</v>
      </c>
      <c r="Q34" s="1" t="str">
        <v xml:space="preserve"> UNION GIE DE MBANTOU</v>
      </c>
      <c r="S34" s="125" t="str" cm="1">
        <f t="array" ref="S34">IFERROR(_xlfn._xlws.FILTER(E34,D34="Combine Harvester"),"")</f>
        <v/>
      </c>
      <c r="V34" s="130" t="s">
        <v>84</v>
      </c>
      <c r="W34" s="129" t="str">
        <f t="shared" si="0"/>
        <v>Private</v>
      </c>
      <c r="X34" s="130"/>
      <c r="Y34" s="130"/>
    </row>
    <row r="35" spans="1:25" ht="42">
      <c r="A35" s="65" t="s">
        <v>81</v>
      </c>
      <c r="B35" s="66" t="s">
        <v>175</v>
      </c>
      <c r="C35" s="18" t="s">
        <v>56</v>
      </c>
      <c r="D35" s="66" t="s">
        <v>334</v>
      </c>
      <c r="E35" s="66" t="s">
        <v>57</v>
      </c>
      <c r="F35" s="66" t="s">
        <v>341</v>
      </c>
      <c r="G35" s="66" t="s">
        <v>58</v>
      </c>
      <c r="H35" s="67" t="s">
        <v>59</v>
      </c>
      <c r="I35" s="65" t="s">
        <v>424</v>
      </c>
      <c r="J35" s="66" t="s">
        <v>199</v>
      </c>
      <c r="K35" s="67">
        <v>2014</v>
      </c>
      <c r="L35" s="67" t="s">
        <v>18</v>
      </c>
      <c r="M35" s="67"/>
      <c r="N35" s="66" t="s">
        <v>357</v>
      </c>
      <c r="O35" s="30"/>
      <c r="P35" s="125" t="str" cm="1">
        <f t="array" ref="P35">IFERROR(_xlfn._xlws.FILTER(E35,D35="Tractor"),"")</f>
        <v>Union Guédé Village</v>
      </c>
      <c r="Q35" s="1" t="str">
        <v>GIE RACINE 2 KODITH</v>
      </c>
      <c r="S35" s="125" t="str" cm="1">
        <f t="array" ref="S35">IFERROR(_xlfn._xlws.FILTER(E35,D35="Combine Harvester"),"")</f>
        <v/>
      </c>
      <c r="V35" s="130" t="s">
        <v>86</v>
      </c>
      <c r="W35" s="129" t="str">
        <f t="shared" si="0"/>
        <v>Private</v>
      </c>
      <c r="X35" s="130"/>
      <c r="Y35" s="130"/>
    </row>
    <row r="36" spans="1:25" ht="42">
      <c r="A36" s="65" t="s">
        <v>81</v>
      </c>
      <c r="B36" s="66" t="s">
        <v>175</v>
      </c>
      <c r="C36" s="18" t="s">
        <v>56</v>
      </c>
      <c r="D36" s="66" t="s">
        <v>334</v>
      </c>
      <c r="E36" s="66" t="s">
        <v>64</v>
      </c>
      <c r="F36" s="79" t="s">
        <v>341</v>
      </c>
      <c r="G36" s="66" t="s">
        <v>65</v>
      </c>
      <c r="H36" s="67" t="s">
        <v>66</v>
      </c>
      <c r="I36" s="65" t="s">
        <v>424</v>
      </c>
      <c r="J36" s="66" t="s">
        <v>199</v>
      </c>
      <c r="K36" s="67">
        <v>2014</v>
      </c>
      <c r="L36" s="67" t="s">
        <v>18</v>
      </c>
      <c r="M36" s="67"/>
      <c r="N36" s="66" t="s">
        <v>357</v>
      </c>
      <c r="O36" s="30"/>
      <c r="P36" s="125" t="str" cm="1">
        <f t="array" ref="P36">IFERROR(_xlfn._xlws.FILTER(E36,D36="Tractor"),"")</f>
        <v>Fédération des GIE de Donaye</v>
      </c>
      <c r="Q36" s="1" t="str">
        <v>GIE Baidy Dieynabel DIOP</v>
      </c>
      <c r="S36" s="125" t="str" cm="1">
        <f t="array" ref="S36">IFERROR(_xlfn._xlws.FILTER(E36,D36="Combine Harvester"),"")</f>
        <v/>
      </c>
      <c r="V36" s="130" t="s">
        <v>95</v>
      </c>
      <c r="W36" s="129" t="str">
        <f t="shared" si="0"/>
        <v>Union</v>
      </c>
      <c r="X36" s="130"/>
      <c r="Y36" s="130"/>
    </row>
    <row r="37" spans="1:25" ht="31">
      <c r="A37" s="65" t="s">
        <v>81</v>
      </c>
      <c r="B37" s="66" t="s">
        <v>175</v>
      </c>
      <c r="C37" s="66" t="s">
        <v>22</v>
      </c>
      <c r="D37" s="66" t="s">
        <v>334</v>
      </c>
      <c r="E37" s="66" t="s">
        <v>67</v>
      </c>
      <c r="F37" s="79" t="s">
        <v>341</v>
      </c>
      <c r="G37" s="66" t="s">
        <v>68</v>
      </c>
      <c r="H37" s="67" t="s">
        <v>69</v>
      </c>
      <c r="I37" s="65" t="s">
        <v>424</v>
      </c>
      <c r="J37" s="66" t="s">
        <v>199</v>
      </c>
      <c r="K37" s="67">
        <v>2015</v>
      </c>
      <c r="L37" s="67" t="s">
        <v>28</v>
      </c>
      <c r="M37" s="67"/>
      <c r="N37" s="66" t="s">
        <v>355</v>
      </c>
      <c r="O37"/>
      <c r="P37" s="125" t="str" cm="1">
        <f t="array" ref="P37">IFERROR(_xlfn._xlws.FILTER(E37,D37="Tractor"),"")</f>
        <v>UNION GIE DE DIATTAR</v>
      </c>
      <c r="Q37" s="1" t="str">
        <v>Union thierno Bocar Ly Mboyo 1</v>
      </c>
      <c r="S37" s="125" t="str" cm="1">
        <f t="array" ref="S37">IFERROR(_xlfn._xlws.FILTER(E37,D37="Combine Harvester"),"")</f>
        <v/>
      </c>
      <c r="V37" s="130" t="s">
        <v>206</v>
      </c>
      <c r="W37" s="129" t="str">
        <f t="shared" si="0"/>
        <v>Union</v>
      </c>
      <c r="X37" s="130"/>
      <c r="Y37" s="130"/>
    </row>
    <row r="38" spans="1:25" ht="31">
      <c r="A38" s="65" t="s">
        <v>81</v>
      </c>
      <c r="B38" s="66" t="s">
        <v>175</v>
      </c>
      <c r="C38" s="66" t="s">
        <v>303</v>
      </c>
      <c r="D38" s="66" t="s">
        <v>334</v>
      </c>
      <c r="E38" s="66" t="s">
        <v>67</v>
      </c>
      <c r="F38" s="66" t="s">
        <v>341</v>
      </c>
      <c r="G38" s="66" t="s">
        <v>300</v>
      </c>
      <c r="H38" s="67" t="s">
        <v>301</v>
      </c>
      <c r="I38" s="65" t="s">
        <v>424</v>
      </c>
      <c r="J38" s="66" t="s">
        <v>199</v>
      </c>
      <c r="K38" s="67">
        <v>2024</v>
      </c>
      <c r="L38" s="67" t="s">
        <v>267</v>
      </c>
      <c r="M38" s="67"/>
      <c r="N38" s="66" t="s">
        <v>355</v>
      </c>
      <c r="O38"/>
      <c r="P38" s="125" t="str" cm="1">
        <f t="array" ref="P38">IFERROR(_xlfn._xlws.FILTER(E38,D38="Tractor"),"")</f>
        <v>UNION GIE DE DIATTAR</v>
      </c>
      <c r="Q38" s="1" t="str">
        <v>Union des Organisations Paysannes Hakoudé Madje de Doué</v>
      </c>
      <c r="S38" s="125" t="str" cm="1">
        <f t="array" ref="S38">IFERROR(_xlfn._xlws.FILTER(E38,D38="Combine Harvester"),"")</f>
        <v/>
      </c>
      <c r="V38" s="130" t="s">
        <v>346</v>
      </c>
      <c r="W38" s="129" t="str">
        <f t="shared" si="0"/>
        <v>Cooperative</v>
      </c>
      <c r="X38" s="130"/>
      <c r="Y38" s="130"/>
    </row>
    <row r="39" spans="1:25" ht="31">
      <c r="A39" s="65" t="s">
        <v>81</v>
      </c>
      <c r="B39" s="66" t="s">
        <v>175</v>
      </c>
      <c r="C39" s="66" t="s">
        <v>22</v>
      </c>
      <c r="D39" s="66" t="s">
        <v>334</v>
      </c>
      <c r="E39" s="66" t="s">
        <v>70</v>
      </c>
      <c r="F39" s="66" t="s">
        <v>341</v>
      </c>
      <c r="G39" s="66" t="s">
        <v>71</v>
      </c>
      <c r="H39" s="67" t="s">
        <v>72</v>
      </c>
      <c r="I39" s="65" t="s">
        <v>424</v>
      </c>
      <c r="J39" s="66" t="s">
        <v>199</v>
      </c>
      <c r="K39" s="67">
        <v>2015</v>
      </c>
      <c r="L39" s="67" t="s">
        <v>28</v>
      </c>
      <c r="M39" s="67"/>
      <c r="N39" s="66" t="s">
        <v>355</v>
      </c>
      <c r="O39"/>
      <c r="P39" s="125" t="str" cm="1">
        <f t="array" ref="P39">IFERROR(_xlfn._xlws.FILTER(E39,D39="Tractor"),"")</f>
        <v>UNION GUEDE CHANTIER</v>
      </c>
      <c r="Q39" s="1" t="str">
        <v>Société Cooperativeagro sylvo pastoral</v>
      </c>
      <c r="S39" s="125" t="str" cm="1">
        <f t="array" ref="S39">IFERROR(_xlfn._xlws.FILTER(E39,D39="Combine Harvester"),"")</f>
        <v/>
      </c>
      <c r="V39" s="130" t="s">
        <v>163</v>
      </c>
      <c r="W39" s="129" t="str">
        <f t="shared" si="0"/>
        <v>Union</v>
      </c>
      <c r="X39" s="130"/>
      <c r="Y39" s="130"/>
    </row>
    <row r="40" spans="1:25" ht="31">
      <c r="A40" s="65" t="s">
        <v>81</v>
      </c>
      <c r="B40" s="66" t="s">
        <v>175</v>
      </c>
      <c r="C40" s="66" t="s">
        <v>22</v>
      </c>
      <c r="D40" s="66" t="s">
        <v>334</v>
      </c>
      <c r="E40" s="66" t="s">
        <v>74</v>
      </c>
      <c r="F40" s="65" t="s">
        <v>342</v>
      </c>
      <c r="G40" s="66" t="s">
        <v>75</v>
      </c>
      <c r="H40" s="67" t="s">
        <v>76</v>
      </c>
      <c r="I40" s="65" t="s">
        <v>424</v>
      </c>
      <c r="J40" s="66" t="s">
        <v>199</v>
      </c>
      <c r="K40" s="67">
        <v>2015</v>
      </c>
      <c r="L40" s="67" t="s">
        <v>28</v>
      </c>
      <c r="M40" s="67"/>
      <c r="N40" s="66" t="s">
        <v>355</v>
      </c>
      <c r="O40"/>
      <c r="P40" s="125" t="str" cm="1">
        <f t="array" ref="P40">IFERROR(_xlfn._xlws.FILTER(E40,D40="Tractor"),"")</f>
        <v>SOULEYMANE LY MBOYO (PRIVE)</v>
      </c>
      <c r="Q40" s="1" t="str">
        <v>UNION DIOSSOROL NDIAWAR</v>
      </c>
      <c r="S40" s="125" t="str" cm="1">
        <f t="array" ref="S40">IFERROR(_xlfn._xlws.FILTER(E40,D40="Combine Harvester"),"")</f>
        <v/>
      </c>
      <c r="V40" s="130" t="s">
        <v>168</v>
      </c>
      <c r="W40" s="129" t="str">
        <f t="shared" si="0"/>
        <v>Private</v>
      </c>
      <c r="X40" s="130"/>
      <c r="Y40" s="130"/>
    </row>
    <row r="41" spans="1:25" ht="31">
      <c r="A41" s="65" t="s">
        <v>81</v>
      </c>
      <c r="B41" s="66" t="s">
        <v>175</v>
      </c>
      <c r="C41" s="66" t="s">
        <v>77</v>
      </c>
      <c r="D41" s="66" t="s">
        <v>334</v>
      </c>
      <c r="E41" s="66" t="s">
        <v>52</v>
      </c>
      <c r="F41" s="78" t="s">
        <v>342</v>
      </c>
      <c r="G41" s="66" t="s">
        <v>53</v>
      </c>
      <c r="H41" s="67" t="s">
        <v>54</v>
      </c>
      <c r="I41" s="65" t="s">
        <v>424</v>
      </c>
      <c r="J41" s="66" t="s">
        <v>199</v>
      </c>
      <c r="K41" s="67">
        <v>2016</v>
      </c>
      <c r="L41" s="67" t="s">
        <v>28</v>
      </c>
      <c r="M41" s="67"/>
      <c r="N41" s="66" t="s">
        <v>355</v>
      </c>
      <c r="O41"/>
      <c r="P41" s="125" t="str" cm="1">
        <f t="array" ref="P41">IFERROR(_xlfn._xlws.FILTER(E41,D41="Tractor"),"")</f>
        <v>Boumatt Agro fresh</v>
      </c>
      <c r="Q41" s="1" t="str">
        <v>GUIA (Privé)</v>
      </c>
      <c r="S41" s="125" t="str" cm="1">
        <f t="array" ref="S41">IFERROR(_xlfn._xlws.FILTER(E41,D41="Combine Harvester"),"")</f>
        <v/>
      </c>
      <c r="V41" s="130" t="s">
        <v>37</v>
      </c>
      <c r="W41" s="129" t="str">
        <f t="shared" si="0"/>
        <v>Union</v>
      </c>
      <c r="X41" s="130"/>
      <c r="Y41" s="130"/>
    </row>
    <row r="42" spans="1:25" ht="31">
      <c r="A42" s="75" t="s">
        <v>81</v>
      </c>
      <c r="B42" s="76" t="s">
        <v>175</v>
      </c>
      <c r="C42" s="76" t="s">
        <v>34</v>
      </c>
      <c r="D42" s="66" t="s">
        <v>334</v>
      </c>
      <c r="E42" s="76" t="s">
        <v>82</v>
      </c>
      <c r="F42" s="87" t="s">
        <v>341</v>
      </c>
      <c r="G42" s="76" t="s">
        <v>83</v>
      </c>
      <c r="H42" s="77" t="s">
        <v>238</v>
      </c>
      <c r="I42" s="65" t="s">
        <v>424</v>
      </c>
      <c r="J42" s="76" t="s">
        <v>199</v>
      </c>
      <c r="K42" s="77">
        <v>2018</v>
      </c>
      <c r="L42" s="77" t="s">
        <v>28</v>
      </c>
      <c r="M42" s="77"/>
      <c r="N42" s="76" t="s">
        <v>355</v>
      </c>
      <c r="O42"/>
      <c r="P42" s="125" t="str" cm="1">
        <f t="array" ref="P42">IFERROR(_xlfn._xlws.FILTER(E42,D42="Tractor"),"")</f>
        <v xml:space="preserve"> UNION GIE DE MBANTOU</v>
      </c>
      <c r="Q42" s="1" t="str">
        <v xml:space="preserve"> UNION NDIOUM SP2</v>
      </c>
      <c r="S42" s="125" t="str" cm="1">
        <f t="array" ref="S42">IFERROR(_xlfn._xlws.FILTER(E42,D42="Combine Harvester"),"")</f>
        <v/>
      </c>
      <c r="V42" s="130" t="s">
        <v>78</v>
      </c>
      <c r="W42" s="129" t="str">
        <f t="shared" si="0"/>
        <v>Union</v>
      </c>
      <c r="X42" s="130"/>
      <c r="Y42" s="130"/>
    </row>
    <row r="43" spans="1:25" ht="31">
      <c r="A43" s="75" t="s">
        <v>81</v>
      </c>
      <c r="B43" s="76" t="s">
        <v>175</v>
      </c>
      <c r="C43" s="76" t="s">
        <v>34</v>
      </c>
      <c r="D43" s="66" t="s">
        <v>334</v>
      </c>
      <c r="E43" s="76" t="s">
        <v>84</v>
      </c>
      <c r="F43" s="78" t="s">
        <v>342</v>
      </c>
      <c r="G43" s="76" t="s">
        <v>85</v>
      </c>
      <c r="H43" s="77" t="s">
        <v>239</v>
      </c>
      <c r="I43" s="65" t="s">
        <v>424</v>
      </c>
      <c r="J43" s="76" t="s">
        <v>199</v>
      </c>
      <c r="K43" s="77">
        <v>2018</v>
      </c>
      <c r="L43" s="77" t="s">
        <v>28</v>
      </c>
      <c r="M43" s="77"/>
      <c r="N43" s="76" t="s">
        <v>355</v>
      </c>
      <c r="O43"/>
      <c r="P43" s="125" t="str" cm="1">
        <f t="array" ref="P43">IFERROR(_xlfn._xlws.FILTER(E43,D43="Tractor"),"")</f>
        <v>GIE RACINE 2 KODITH</v>
      </c>
      <c r="Q43" s="1" t="str">
        <v>GIE Groupe Naforé</v>
      </c>
      <c r="S43" s="125" t="str" cm="1">
        <f t="array" ref="S43">IFERROR(_xlfn._xlws.FILTER(E43,D43="Combine Harvester"),"")</f>
        <v/>
      </c>
      <c r="V43" s="130" t="s">
        <v>94</v>
      </c>
      <c r="W43" s="129" t="str">
        <f t="shared" si="0"/>
        <v>Union</v>
      </c>
      <c r="X43" s="130"/>
      <c r="Y43" s="130"/>
    </row>
    <row r="44" spans="1:25" ht="31">
      <c r="A44" s="65" t="s">
        <v>81</v>
      </c>
      <c r="B44" s="66" t="s">
        <v>175</v>
      </c>
      <c r="C44" s="66" t="s">
        <v>22</v>
      </c>
      <c r="D44" s="66" t="s">
        <v>334</v>
      </c>
      <c r="E44" s="66" t="s">
        <v>86</v>
      </c>
      <c r="F44" s="78" t="s">
        <v>342</v>
      </c>
      <c r="G44" s="66" t="s">
        <v>87</v>
      </c>
      <c r="H44" s="67" t="s">
        <v>88</v>
      </c>
      <c r="I44" s="65" t="s">
        <v>424</v>
      </c>
      <c r="J44" s="66" t="s">
        <v>199</v>
      </c>
      <c r="K44" s="67">
        <v>2016</v>
      </c>
      <c r="L44" s="67" t="s">
        <v>28</v>
      </c>
      <c r="M44" s="67"/>
      <c r="N44" s="66" t="s">
        <v>355</v>
      </c>
      <c r="O44"/>
      <c r="P44" s="125" t="str" cm="1">
        <f t="array" ref="P44">IFERROR(_xlfn._xlws.FILTER(E44,D44="Tractor"),"")</f>
        <v>GIE Baidy Dieynabel DIOP</v>
      </c>
      <c r="Q44" s="1" t="str">
        <v>UNION  H MAAJE DOUE</v>
      </c>
      <c r="S44" s="125" t="str" cm="1">
        <f t="array" ref="S44">IFERROR(_xlfn._xlws.FILTER(E44,D44="Combine Harvester"),"")</f>
        <v/>
      </c>
      <c r="V44" s="130" t="s">
        <v>193</v>
      </c>
      <c r="W44" s="129" t="str">
        <f t="shared" si="0"/>
        <v>Union</v>
      </c>
      <c r="X44" s="130"/>
      <c r="Y44" s="130"/>
    </row>
    <row r="45" spans="1:25" ht="31">
      <c r="A45" s="65" t="s">
        <v>81</v>
      </c>
      <c r="B45" s="66" t="s">
        <v>175</v>
      </c>
      <c r="C45" s="66" t="s">
        <v>22</v>
      </c>
      <c r="D45" s="66" t="s">
        <v>334</v>
      </c>
      <c r="E45" s="66" t="s">
        <v>95</v>
      </c>
      <c r="F45" s="66" t="s">
        <v>341</v>
      </c>
      <c r="G45" s="66" t="s">
        <v>96</v>
      </c>
      <c r="H45" s="67" t="s">
        <v>97</v>
      </c>
      <c r="I45" s="65" t="s">
        <v>424</v>
      </c>
      <c r="J45" s="66" t="s">
        <v>199</v>
      </c>
      <c r="K45" s="67">
        <v>2016</v>
      </c>
      <c r="L45" s="67" t="s">
        <v>28</v>
      </c>
      <c r="M45" s="67"/>
      <c r="N45" s="66" t="s">
        <v>355</v>
      </c>
      <c r="O45"/>
      <c r="P45" s="125" t="str" cm="1">
        <f t="array" ref="P45">IFERROR(_xlfn._xlws.FILTER(E45,D45="Tractor"),"")</f>
        <v>Union thierno Bocar Ly Mboyo 1</v>
      </c>
      <c r="Q45" s="1" t="str">
        <v>Interprofession des Producteurs d’oignon de Podor (IPOS)</v>
      </c>
      <c r="S45" s="125" t="str" cm="1">
        <f t="array" ref="S45">IFERROR(_xlfn._xlws.FILTER(E45,D45="Combine Harvester"),"")</f>
        <v/>
      </c>
      <c r="V45" s="130" t="s">
        <v>127</v>
      </c>
      <c r="W45" s="129" t="str">
        <f t="shared" si="0"/>
        <v>Union</v>
      </c>
      <c r="X45" s="130"/>
      <c r="Y45" s="130"/>
    </row>
    <row r="46" spans="1:25" ht="46.5">
      <c r="A46" s="90" t="s">
        <v>81</v>
      </c>
      <c r="B46" s="90" t="s">
        <v>175</v>
      </c>
      <c r="C46" s="91" t="s">
        <v>192</v>
      </c>
      <c r="D46" s="66" t="s">
        <v>334</v>
      </c>
      <c r="E46" s="118" t="s">
        <v>206</v>
      </c>
      <c r="F46" s="79" t="s">
        <v>341</v>
      </c>
      <c r="G46" s="119" t="s">
        <v>320</v>
      </c>
      <c r="H46" s="120" t="s">
        <v>302</v>
      </c>
      <c r="I46" s="65" t="s">
        <v>424</v>
      </c>
      <c r="J46" s="65" t="s">
        <v>199</v>
      </c>
      <c r="K46" s="120">
        <v>2024</v>
      </c>
      <c r="L46" s="120" t="s">
        <v>182</v>
      </c>
      <c r="M46" s="120" t="s">
        <v>259</v>
      </c>
      <c r="N46" s="119" t="s">
        <v>355</v>
      </c>
      <c r="O46"/>
      <c r="P46" s="125" t="str" cm="1">
        <f t="array" ref="P46">IFERROR(_xlfn._xlws.FILTER(E46,D46="Tractor"),"")</f>
        <v>Union des Organisations Paysannes Hakoudé Madje de Doué</v>
      </c>
      <c r="Q46" s="1" t="str">
        <v>Union PIV ET PIP DE Fanaye</v>
      </c>
      <c r="S46" s="125" t="str" cm="1">
        <f t="array" ref="S46">IFERROR(_xlfn._xlws.FILTER(E46,D46="Combine Harvester"),"")</f>
        <v/>
      </c>
      <c r="V46" s="130" t="s">
        <v>138</v>
      </c>
      <c r="W46" s="129" t="str">
        <f t="shared" si="0"/>
        <v>Union</v>
      </c>
      <c r="X46" s="130"/>
      <c r="Y46" s="130"/>
    </row>
    <row r="47" spans="1:25" ht="31">
      <c r="A47" s="86" t="s">
        <v>81</v>
      </c>
      <c r="B47" s="87" t="s">
        <v>175</v>
      </c>
      <c r="C47" s="87" t="s">
        <v>317</v>
      </c>
      <c r="D47" s="66" t="s">
        <v>334</v>
      </c>
      <c r="E47" s="87" t="s">
        <v>291</v>
      </c>
      <c r="F47" s="65" t="s">
        <v>342</v>
      </c>
      <c r="G47" s="87" t="s">
        <v>179</v>
      </c>
      <c r="H47" s="88" t="s">
        <v>93</v>
      </c>
      <c r="I47" s="65" t="s">
        <v>424</v>
      </c>
      <c r="J47" s="87" t="s">
        <v>199</v>
      </c>
      <c r="K47" s="88">
        <v>2024</v>
      </c>
      <c r="L47" s="88" t="s">
        <v>182</v>
      </c>
      <c r="M47" s="88" t="s">
        <v>259</v>
      </c>
      <c r="N47" s="87" t="s">
        <v>355</v>
      </c>
      <c r="O47" s="37" t="s">
        <v>278</v>
      </c>
      <c r="P47" s="125" t="str" cm="1">
        <f t="array" ref="P47">IFERROR(_xlfn._xlws.FILTER(E47,D47="Tractor"),"")</f>
        <v>Privé</v>
      </c>
      <c r="Q47" s="1" t="str">
        <v>NDIEURBA SP2</v>
      </c>
      <c r="S47" s="125" t="str" cm="1">
        <f t="array" ref="S47">IFERROR(_xlfn._xlws.FILTER(E47,D47="Combine Harvester"),"")</f>
        <v/>
      </c>
      <c r="V47" s="130" t="s">
        <v>141</v>
      </c>
      <c r="W47" s="129" t="str">
        <f t="shared" si="0"/>
        <v>Union</v>
      </c>
      <c r="X47" s="130"/>
      <c r="Y47" s="130"/>
    </row>
    <row r="48" spans="1:25" ht="31">
      <c r="A48" s="75" t="s">
        <v>81</v>
      </c>
      <c r="B48" s="76" t="s">
        <v>175</v>
      </c>
      <c r="C48" s="76" t="s">
        <v>317</v>
      </c>
      <c r="D48" s="66" t="s">
        <v>334</v>
      </c>
      <c r="E48" s="92" t="s">
        <v>346</v>
      </c>
      <c r="F48" s="78" t="s">
        <v>344</v>
      </c>
      <c r="G48" s="92" t="s">
        <v>323</v>
      </c>
      <c r="H48" s="93" t="s">
        <v>324</v>
      </c>
      <c r="I48" s="65" t="s">
        <v>424</v>
      </c>
      <c r="J48" s="76" t="s">
        <v>199</v>
      </c>
      <c r="K48" s="77">
        <v>2024</v>
      </c>
      <c r="L48" s="77" t="s">
        <v>182</v>
      </c>
      <c r="M48" s="77" t="s">
        <v>259</v>
      </c>
      <c r="N48" s="76" t="s">
        <v>355</v>
      </c>
      <c r="O48" s="37"/>
      <c r="P48" s="125" t="str" cm="1">
        <f t="array" ref="P48">IFERROR(_xlfn._xlws.FILTER(E48,D48="Tractor"),"")</f>
        <v>Société Cooperativeagro sylvo pastoral</v>
      </c>
      <c r="Q48" s="1" t="str">
        <v>SP1 NGORO FANAYE</v>
      </c>
      <c r="S48" s="125" t="str" cm="1">
        <f t="array" ref="S48">IFERROR(_xlfn._xlws.FILTER(E48,D48="Combine Harvester"),"")</f>
        <v/>
      </c>
      <c r="V48" s="130" t="s">
        <v>147</v>
      </c>
      <c r="W48" s="129" t="str">
        <f t="shared" si="0"/>
        <v>Private</v>
      </c>
      <c r="X48" s="130"/>
      <c r="Y48" s="130"/>
    </row>
    <row r="49" spans="1:25" ht="31">
      <c r="A49" s="65" t="s">
        <v>81</v>
      </c>
      <c r="B49" s="65" t="s">
        <v>175</v>
      </c>
      <c r="C49" s="110" t="s">
        <v>203</v>
      </c>
      <c r="D49" s="65" t="s">
        <v>335</v>
      </c>
      <c r="E49" s="84" t="s">
        <v>64</v>
      </c>
      <c r="F49" s="79" t="s">
        <v>15</v>
      </c>
      <c r="G49" s="78" t="s">
        <v>325</v>
      </c>
      <c r="H49" s="81" t="s">
        <v>216</v>
      </c>
      <c r="I49" s="65" t="s">
        <v>424</v>
      </c>
      <c r="J49" s="65" t="s">
        <v>199</v>
      </c>
      <c r="K49" s="115">
        <v>2024</v>
      </c>
      <c r="L49" s="89" t="s">
        <v>182</v>
      </c>
      <c r="M49" s="89" t="s">
        <v>259</v>
      </c>
      <c r="N49" s="65" t="s">
        <v>355</v>
      </c>
      <c r="O49" s="37"/>
      <c r="P49" s="125" t="str" cm="1">
        <f t="array" ref="P49">IFERROR(_xlfn._xlws.FILTER(E49,D49="Tractor"),"")</f>
        <v/>
      </c>
      <c r="Q49" s="1" t="str">
        <v xml:space="preserve"> CODOU DIOP</v>
      </c>
      <c r="S49" s="125" t="str" cm="1">
        <f t="array" ref="S49">IFERROR(_xlfn._xlws.FILTER(E49,D49="Combine Harvester"),"")</f>
        <v>Fédération des GIE de Donaye</v>
      </c>
      <c r="V49" s="130" t="s">
        <v>149</v>
      </c>
      <c r="W49" s="129" t="str">
        <f t="shared" si="0"/>
        <v>Union</v>
      </c>
      <c r="X49" s="130"/>
      <c r="Y49" s="130"/>
    </row>
    <row r="50" spans="1:25" ht="31">
      <c r="A50" s="78" t="s">
        <v>81</v>
      </c>
      <c r="B50" s="78" t="s">
        <v>175</v>
      </c>
      <c r="C50" s="79" t="s">
        <v>203</v>
      </c>
      <c r="D50" s="65" t="s">
        <v>335</v>
      </c>
      <c r="E50" s="84" t="s">
        <v>214</v>
      </c>
      <c r="F50" s="78" t="s">
        <v>15</v>
      </c>
      <c r="G50" s="78" t="s">
        <v>230</v>
      </c>
      <c r="H50" s="81" t="s">
        <v>59</v>
      </c>
      <c r="I50" s="65" t="s">
        <v>424</v>
      </c>
      <c r="J50" s="78" t="s">
        <v>199</v>
      </c>
      <c r="K50" s="83">
        <v>2024</v>
      </c>
      <c r="L50" s="83" t="s">
        <v>182</v>
      </c>
      <c r="M50" s="83" t="s">
        <v>259</v>
      </c>
      <c r="N50" s="65" t="s">
        <v>355</v>
      </c>
      <c r="O50" s="37"/>
      <c r="P50" s="125" t="str" cm="1">
        <f t="array" ref="P50">IFERROR(_xlfn._xlws.FILTER(E50,D50="Tractor"),"")</f>
        <v/>
      </c>
      <c r="Q50" s="1" t="str">
        <v>UNION DES GIE DE NGORO FANAYE</v>
      </c>
      <c r="S50" s="125" t="str" cm="1">
        <f t="array" ref="S50">IFERROR(_xlfn._xlws.FILTER(E50,D50="Combine Harvester"),"")</f>
        <v>Union des PIV de  Guédé</v>
      </c>
      <c r="V50" s="130" t="s">
        <v>262</v>
      </c>
      <c r="W50" s="129" t="str">
        <f t="shared" si="0"/>
        <v>Union</v>
      </c>
      <c r="X50" s="130"/>
      <c r="Y50" s="130"/>
    </row>
    <row r="51" spans="1:25" s="36" customFormat="1" ht="31">
      <c r="A51" s="78" t="s">
        <v>81</v>
      </c>
      <c r="B51" s="87" t="s">
        <v>175</v>
      </c>
      <c r="C51" s="79" t="s">
        <v>22</v>
      </c>
      <c r="D51" s="79" t="s">
        <v>334</v>
      </c>
      <c r="E51" s="79" t="s">
        <v>163</v>
      </c>
      <c r="F51" s="66" t="s">
        <v>341</v>
      </c>
      <c r="G51" s="79" t="s">
        <v>164</v>
      </c>
      <c r="H51" s="94" t="s">
        <v>165</v>
      </c>
      <c r="I51" s="65" t="s">
        <v>424</v>
      </c>
      <c r="J51" s="79" t="s">
        <v>176</v>
      </c>
      <c r="K51" s="94">
        <v>2016</v>
      </c>
      <c r="L51" s="94" t="s">
        <v>28</v>
      </c>
      <c r="M51" s="94"/>
      <c r="N51" s="79" t="s">
        <v>355</v>
      </c>
      <c r="O51" s="37"/>
      <c r="P51" s="125" t="str" cm="1">
        <f t="array" ref="P51">IFERROR(_xlfn._xlws.FILTER(E51,D51="Tractor"),"")</f>
        <v>UNION DIOSSOROL NDIAWAR</v>
      </c>
      <c r="Q51" s="36" t="str">
        <v>Village de Diagnoum</v>
      </c>
      <c r="S51" s="125" t="str" cm="1">
        <f t="array" ref="S51">IFERROR(_xlfn._xlws.FILTER(E51,D51="Combine Harvester"),"")</f>
        <v/>
      </c>
      <c r="V51" s="130" t="s">
        <v>268</v>
      </c>
      <c r="W51" s="129" t="str">
        <f t="shared" si="0"/>
        <v>Union</v>
      </c>
      <c r="X51" s="133"/>
      <c r="Y51" s="133"/>
    </row>
    <row r="52" spans="1:25" s="36" customFormat="1" ht="31">
      <c r="A52" s="78" t="s">
        <v>81</v>
      </c>
      <c r="B52" s="87" t="s">
        <v>175</v>
      </c>
      <c r="C52" s="79" t="s">
        <v>22</v>
      </c>
      <c r="D52" s="79" t="s">
        <v>334</v>
      </c>
      <c r="E52" s="79" t="s">
        <v>168</v>
      </c>
      <c r="F52" s="65" t="s">
        <v>342</v>
      </c>
      <c r="G52" s="79" t="s">
        <v>169</v>
      </c>
      <c r="H52" s="94" t="s">
        <v>170</v>
      </c>
      <c r="I52" s="65" t="s">
        <v>424</v>
      </c>
      <c r="J52" s="79" t="s">
        <v>199</v>
      </c>
      <c r="K52" s="94">
        <v>2016</v>
      </c>
      <c r="L52" s="94" t="s">
        <v>28</v>
      </c>
      <c r="M52" s="94"/>
      <c r="N52" s="79" t="s">
        <v>355</v>
      </c>
      <c r="O52" s="37"/>
      <c r="P52" s="125" t="str" cm="1">
        <f t="array" ref="P52">IFERROR(_xlfn._xlws.FILTER(E52,D52="Tractor"),"")</f>
        <v>GUIA (Privé)</v>
      </c>
      <c r="Q52" s="36" t="str">
        <v>Village de Thillé Boubacar</v>
      </c>
      <c r="S52" s="125" t="str" cm="1">
        <f t="array" ref="S52">IFERROR(_xlfn._xlws.FILTER(E52,D52="Combine Harvester"),"")</f>
        <v/>
      </c>
      <c r="V52" s="130" t="s">
        <v>273</v>
      </c>
      <c r="W52" s="129" t="str">
        <f t="shared" si="0"/>
        <v>Cooperative</v>
      </c>
      <c r="X52" s="133"/>
      <c r="Y52" s="133"/>
    </row>
    <row r="53" spans="1:25" ht="31">
      <c r="A53" s="78" t="s">
        <v>81</v>
      </c>
      <c r="B53" s="79" t="s">
        <v>175</v>
      </c>
      <c r="C53" s="79" t="s">
        <v>327</v>
      </c>
      <c r="D53" s="79" t="s">
        <v>335</v>
      </c>
      <c r="E53" s="79" t="s">
        <v>41</v>
      </c>
      <c r="F53" s="79" t="s">
        <v>341</v>
      </c>
      <c r="G53" s="79" t="s">
        <v>42</v>
      </c>
      <c r="H53" s="94">
        <v>776594761</v>
      </c>
      <c r="I53" s="79" t="s">
        <v>400</v>
      </c>
      <c r="J53" s="79"/>
      <c r="K53" s="94">
        <v>2019</v>
      </c>
      <c r="L53" s="94" t="s">
        <v>28</v>
      </c>
      <c r="M53" s="94"/>
      <c r="N53" s="66" t="s">
        <v>355</v>
      </c>
      <c r="O53"/>
      <c r="P53" s="125" t="str" cm="1">
        <f t="array" ref="P53">IFERROR(_xlfn._xlws.FILTER(E53,D53="Tractor"),"")</f>
        <v/>
      </c>
      <c r="Q53" s="1" t="str">
        <v>COOP Toro KOICA</v>
      </c>
      <c r="S53" s="125" t="str" cm="1">
        <f t="array" ref="S53">IFERROR(_xlfn._xlws.FILTER(E53,D53="Combine Harvester"),"")</f>
        <v xml:space="preserve"> UNION NDIOUM SP1</v>
      </c>
      <c r="V53" s="130" t="s">
        <v>60</v>
      </c>
      <c r="W53" s="129" t="str">
        <f t="shared" si="0"/>
        <v>Union</v>
      </c>
      <c r="X53" s="130"/>
      <c r="Y53" s="130"/>
    </row>
    <row r="54" spans="1:25" s="36" customFormat="1" ht="31">
      <c r="A54" s="86" t="s">
        <v>81</v>
      </c>
      <c r="B54" s="76" t="s">
        <v>175</v>
      </c>
      <c r="C54" s="87" t="s">
        <v>34</v>
      </c>
      <c r="D54" s="79" t="s">
        <v>334</v>
      </c>
      <c r="E54" s="87" t="s">
        <v>37</v>
      </c>
      <c r="F54" s="87" t="s">
        <v>341</v>
      </c>
      <c r="G54" s="87" t="s">
        <v>38</v>
      </c>
      <c r="H54" s="88">
        <v>775127979</v>
      </c>
      <c r="I54" s="79" t="s">
        <v>400</v>
      </c>
      <c r="J54" s="87" t="s">
        <v>199</v>
      </c>
      <c r="K54" s="88">
        <v>2018</v>
      </c>
      <c r="L54" s="88" t="s">
        <v>28</v>
      </c>
      <c r="M54" s="88"/>
      <c r="N54" s="87" t="s">
        <v>354</v>
      </c>
      <c r="O54" s="37"/>
      <c r="P54" s="125" t="str" cm="1">
        <f t="array" ref="P54">IFERROR(_xlfn._xlws.FILTER(E54,D54="Tractor"),"")</f>
        <v xml:space="preserve"> UNION NDIOUM SP2</v>
      </c>
      <c r="Q54" s="36" t="str">
        <v>Union Cheikhou Oumar Loboudou Doué</v>
      </c>
      <c r="S54" s="125" t="str" cm="1">
        <f t="array" ref="S54">IFERROR(_xlfn._xlws.FILTER(E54,D54="Combine Harvester"),"")</f>
        <v/>
      </c>
      <c r="V54" s="130" t="s">
        <v>130</v>
      </c>
      <c r="W54" s="129" t="str">
        <f t="shared" si="0"/>
        <v>Union</v>
      </c>
      <c r="X54" s="133"/>
      <c r="Y54" s="133"/>
    </row>
    <row r="55" spans="1:25" ht="31">
      <c r="A55" s="78" t="s">
        <v>81</v>
      </c>
      <c r="B55" s="65" t="s">
        <v>175</v>
      </c>
      <c r="C55" s="79" t="s">
        <v>203</v>
      </c>
      <c r="D55" s="65" t="s">
        <v>335</v>
      </c>
      <c r="E55" s="84" t="s">
        <v>211</v>
      </c>
      <c r="F55" s="79" t="s">
        <v>15</v>
      </c>
      <c r="G55" s="78" t="s">
        <v>228</v>
      </c>
      <c r="H55" s="81" t="s">
        <v>232</v>
      </c>
      <c r="I55" s="78" t="s">
        <v>400</v>
      </c>
      <c r="J55" s="78" t="s">
        <v>199</v>
      </c>
      <c r="K55" s="83">
        <v>2024</v>
      </c>
      <c r="L55" s="83" t="s">
        <v>182</v>
      </c>
      <c r="M55" s="83" t="s">
        <v>259</v>
      </c>
      <c r="N55" s="78" t="s">
        <v>355</v>
      </c>
      <c r="O55"/>
      <c r="P55" s="125" t="str" cm="1">
        <f t="array" ref="P55">IFERROR(_xlfn._xlws.FILTER(E55,D55="Tractor"),"")</f>
        <v/>
      </c>
      <c r="Q55" s="1" t="str">
        <v>FEGINA  - NGALLENKA AMONT</v>
      </c>
      <c r="S55" s="125" t="str" cm="1">
        <f t="array" ref="S55">IFERROR(_xlfn._xlws.FILTER(E55,D55="Combine Harvester"),"")</f>
        <v>Union des GIE SP2 de Ndioum</v>
      </c>
      <c r="V55" s="130" t="s">
        <v>133</v>
      </c>
      <c r="W55" s="129" t="str">
        <f t="shared" si="0"/>
        <v>Union</v>
      </c>
      <c r="X55" s="130"/>
      <c r="Y55" s="130"/>
    </row>
    <row r="56" spans="1:25" ht="31">
      <c r="A56" s="78" t="s">
        <v>81</v>
      </c>
      <c r="B56" s="66" t="s">
        <v>175</v>
      </c>
      <c r="C56" s="79" t="s">
        <v>77</v>
      </c>
      <c r="D56" s="66" t="s">
        <v>334</v>
      </c>
      <c r="E56" s="79" t="s">
        <v>78</v>
      </c>
      <c r="F56" s="79" t="s">
        <v>341</v>
      </c>
      <c r="G56" s="79" t="s">
        <v>79</v>
      </c>
      <c r="H56" s="94" t="s">
        <v>80</v>
      </c>
      <c r="I56" s="79" t="s">
        <v>392</v>
      </c>
      <c r="J56" s="79" t="s">
        <v>199</v>
      </c>
      <c r="K56" s="94">
        <v>2016</v>
      </c>
      <c r="L56" s="94" t="s">
        <v>28</v>
      </c>
      <c r="M56" s="94"/>
      <c r="N56" s="79" t="s">
        <v>355</v>
      </c>
      <c r="O56"/>
      <c r="P56" s="125" t="str" cm="1">
        <f t="array" ref="P56">IFERROR(_xlfn._xlws.FILTER(E56,D56="Tractor"),"")</f>
        <v>GIE Groupe Naforé</v>
      </c>
      <c r="Q56" s="1" t="str">
        <v>Union Thillé thiangaye</v>
      </c>
      <c r="S56" s="125" t="str" cm="1">
        <f t="array" ref="S56">IFERROR(_xlfn._xlws.FILTER(E56,D56="Combine Harvester"),"")</f>
        <v/>
      </c>
      <c r="V56" s="130" t="s">
        <v>135</v>
      </c>
      <c r="W56" s="129" t="str">
        <f t="shared" si="0"/>
        <v>Union</v>
      </c>
      <c r="X56" s="130"/>
      <c r="Y56" s="130"/>
    </row>
    <row r="57" spans="1:25" ht="31">
      <c r="A57" s="78" t="s">
        <v>81</v>
      </c>
      <c r="B57" s="66" t="s">
        <v>175</v>
      </c>
      <c r="C57" s="79" t="s">
        <v>22</v>
      </c>
      <c r="D57" s="66" t="s">
        <v>334</v>
      </c>
      <c r="E57" s="79" t="s">
        <v>94</v>
      </c>
      <c r="F57" s="79" t="s">
        <v>341</v>
      </c>
      <c r="G57" s="79" t="s">
        <v>79</v>
      </c>
      <c r="H57" s="94" t="s">
        <v>80</v>
      </c>
      <c r="I57" s="79" t="s">
        <v>392</v>
      </c>
      <c r="J57" s="79" t="s">
        <v>199</v>
      </c>
      <c r="K57" s="94">
        <v>2015</v>
      </c>
      <c r="L57" s="94" t="s">
        <v>28</v>
      </c>
      <c r="M57" s="94"/>
      <c r="N57" s="79" t="s">
        <v>355</v>
      </c>
      <c r="O57"/>
      <c r="P57" s="125" t="str" cm="1">
        <f t="array" ref="P57">IFERROR(_xlfn._xlws.FILTER(E57,D57="Tractor"),"")</f>
        <v>UNION  H MAAJE DOUE</v>
      </c>
      <c r="Q57" s="1" t="str">
        <v>Dental MCA</v>
      </c>
      <c r="S57" s="125" t="str" cm="1">
        <f t="array" ref="S57">IFERROR(_xlfn._xlws.FILTER(E57,D57="Combine Harvester"),"")</f>
        <v/>
      </c>
      <c r="V57" s="130" t="s">
        <v>144</v>
      </c>
      <c r="W57" s="129" t="str">
        <f t="shared" si="0"/>
        <v>Union</v>
      </c>
      <c r="X57" s="130"/>
      <c r="Y57" s="130"/>
    </row>
    <row r="58" spans="1:25" ht="46.5">
      <c r="A58" s="65" t="s">
        <v>81</v>
      </c>
      <c r="B58" s="66" t="s">
        <v>175</v>
      </c>
      <c r="C58" s="66" t="s">
        <v>191</v>
      </c>
      <c r="D58" s="66" t="s">
        <v>334</v>
      </c>
      <c r="E58" s="111" t="s">
        <v>193</v>
      </c>
      <c r="F58" s="78" t="s">
        <v>15</v>
      </c>
      <c r="G58" s="65" t="s">
        <v>162</v>
      </c>
      <c r="H58" s="112" t="s">
        <v>233</v>
      </c>
      <c r="I58" s="78" t="s">
        <v>392</v>
      </c>
      <c r="J58" s="65" t="s">
        <v>201</v>
      </c>
      <c r="K58" s="89">
        <v>2024</v>
      </c>
      <c r="L58" s="89" t="s">
        <v>182</v>
      </c>
      <c r="M58" s="89"/>
      <c r="N58" s="65" t="s">
        <v>354</v>
      </c>
      <c r="O58"/>
      <c r="P58" s="125" t="str" cm="1">
        <f t="array" ref="P58">IFERROR(_xlfn._xlws.FILTER(E58,D58="Tractor"),"")</f>
        <v>Interprofession des Producteurs d’oignon de Podor (IPOS)</v>
      </c>
      <c r="Q58" s="1" t="str">
        <v>UNION SUMA NIANGA</v>
      </c>
      <c r="S58" s="125" t="str" cm="1">
        <f t="array" ref="S58">IFERROR(_xlfn._xlws.FILTER(E58,D58="Combine Harvester"),"")</f>
        <v/>
      </c>
      <c r="V58" s="130" t="s">
        <v>151</v>
      </c>
      <c r="W58" s="129" t="str">
        <f t="shared" si="0"/>
        <v>Union</v>
      </c>
      <c r="X58" s="130"/>
      <c r="Y58" s="130"/>
    </row>
    <row r="59" spans="1:25" ht="31">
      <c r="A59" s="65" t="s">
        <v>81</v>
      </c>
      <c r="B59" s="66" t="s">
        <v>176</v>
      </c>
      <c r="C59" s="66" t="s">
        <v>327</v>
      </c>
      <c r="D59" s="66" t="s">
        <v>335</v>
      </c>
      <c r="E59" s="66" t="s">
        <v>167</v>
      </c>
      <c r="F59" s="66" t="s">
        <v>341</v>
      </c>
      <c r="G59" s="66" t="s">
        <v>180</v>
      </c>
      <c r="H59" s="67" t="s">
        <v>143</v>
      </c>
      <c r="I59" s="66" t="s">
        <v>388</v>
      </c>
      <c r="J59" s="66" t="s">
        <v>176</v>
      </c>
      <c r="K59" s="67">
        <v>2014</v>
      </c>
      <c r="L59" s="67" t="s">
        <v>18</v>
      </c>
      <c r="M59" s="67"/>
      <c r="N59" s="66" t="s">
        <v>357</v>
      </c>
      <c r="O59"/>
      <c r="P59" s="125" t="str" cm="1">
        <f t="array" ref="P59">IFERROR(_xlfn._xlws.FILTER(E59,D59="Tractor"),"")</f>
        <v/>
      </c>
      <c r="Q59" s="1" t="str">
        <v>UNION DES PIV DE NIANDANE</v>
      </c>
      <c r="S59" s="125" t="str" cm="1">
        <f t="array" ref="S59">IFERROR(_xlfn._xlws.FILTER(E59,D59="Combine Harvester"),"")</f>
        <v>Union Ngoro Fanaye SP1</v>
      </c>
      <c r="V59" s="130" t="s">
        <v>154</v>
      </c>
      <c r="W59" s="129" t="str">
        <f t="shared" si="0"/>
        <v>Union</v>
      </c>
      <c r="X59" s="130"/>
      <c r="Y59" s="130"/>
    </row>
    <row r="60" spans="1:25" ht="31">
      <c r="A60" s="65" t="s">
        <v>81</v>
      </c>
      <c r="B60" s="66" t="s">
        <v>176</v>
      </c>
      <c r="C60" s="66" t="s">
        <v>327</v>
      </c>
      <c r="D60" s="66" t="s">
        <v>335</v>
      </c>
      <c r="E60" s="66" t="s">
        <v>167</v>
      </c>
      <c r="F60" s="66" t="s">
        <v>341</v>
      </c>
      <c r="G60" s="66" t="s">
        <v>180</v>
      </c>
      <c r="H60" s="67" t="s">
        <v>143</v>
      </c>
      <c r="I60" s="66" t="s">
        <v>388</v>
      </c>
      <c r="J60" s="66" t="s">
        <v>176</v>
      </c>
      <c r="K60" s="67">
        <v>2019</v>
      </c>
      <c r="L60" s="67" t="s">
        <v>28</v>
      </c>
      <c r="M60" s="67"/>
      <c r="N60" s="66" t="s">
        <v>355</v>
      </c>
      <c r="O60"/>
      <c r="P60" s="125" t="str" cm="1">
        <f t="array" ref="P60">IFERROR(_xlfn._xlws.FILTER(E60,D60="Tractor"),"")</f>
        <v/>
      </c>
      <c r="Q60" s="1" t="str">
        <v>UNION THILLE - THIANGAYE</v>
      </c>
      <c r="S60" s="125" t="str" cm="1">
        <f t="array" ref="S60">IFERROR(_xlfn._xlws.FILTER(E60,D60="Combine Harvester"),"")</f>
        <v>Union Ngoro Fanaye SP1</v>
      </c>
      <c r="V60" s="130" t="s">
        <v>157</v>
      </c>
      <c r="W60" s="129" t="str">
        <f t="shared" si="0"/>
        <v>Private</v>
      </c>
      <c r="X60" s="130"/>
      <c r="Y60" s="130"/>
    </row>
    <row r="61" spans="1:25" ht="31">
      <c r="A61" s="65" t="s">
        <v>81</v>
      </c>
      <c r="B61" s="66" t="s">
        <v>176</v>
      </c>
      <c r="C61" s="66" t="s">
        <v>329</v>
      </c>
      <c r="D61" s="66" t="s">
        <v>335</v>
      </c>
      <c r="E61" s="66" t="s">
        <v>167</v>
      </c>
      <c r="F61" s="66" t="s">
        <v>341</v>
      </c>
      <c r="G61" s="66" t="s">
        <v>180</v>
      </c>
      <c r="H61" s="67" t="s">
        <v>143</v>
      </c>
      <c r="I61" s="66" t="s">
        <v>388</v>
      </c>
      <c r="J61" s="66" t="s">
        <v>176</v>
      </c>
      <c r="K61" s="67">
        <v>2021</v>
      </c>
      <c r="L61" s="67" t="s">
        <v>282</v>
      </c>
      <c r="M61" s="67"/>
      <c r="N61" s="66" t="s">
        <v>355</v>
      </c>
      <c r="O61" s="37"/>
      <c r="P61" s="125" t="str" cm="1">
        <f t="array" ref="P61">IFERROR(_xlfn._xlws.FILTER(E61,D61="Tractor"),"")</f>
        <v/>
      </c>
      <c r="Q61" s="1" t="str">
        <v xml:space="preserve">GIE FOUTA TORO </v>
      </c>
      <c r="S61" s="125" t="str" cm="1">
        <f t="array" ref="S61">IFERROR(_xlfn._xlws.FILTER(E61,D61="Combine Harvester"),"")</f>
        <v>Union Ngoro Fanaye SP1</v>
      </c>
      <c r="V61" s="130" t="s">
        <v>159</v>
      </c>
      <c r="W61" s="129" t="str">
        <f t="shared" si="0"/>
        <v>Private</v>
      </c>
      <c r="X61" s="130"/>
      <c r="Y61" s="130"/>
    </row>
    <row r="62" spans="1:25" ht="31">
      <c r="A62" s="65" t="s">
        <v>81</v>
      </c>
      <c r="B62" s="66" t="s">
        <v>176</v>
      </c>
      <c r="C62" s="66" t="s">
        <v>12</v>
      </c>
      <c r="D62" s="66" t="s">
        <v>334</v>
      </c>
      <c r="E62" s="66" t="s">
        <v>127</v>
      </c>
      <c r="F62" s="66" t="s">
        <v>341</v>
      </c>
      <c r="G62" s="66" t="s">
        <v>128</v>
      </c>
      <c r="H62" s="67" t="s">
        <v>243</v>
      </c>
      <c r="I62" s="79" t="s">
        <v>388</v>
      </c>
      <c r="J62" s="66" t="s">
        <v>176</v>
      </c>
      <c r="K62" s="67">
        <v>2014</v>
      </c>
      <c r="L62" s="67" t="s">
        <v>18</v>
      </c>
      <c r="M62" s="67"/>
      <c r="N62" s="66" t="s">
        <v>355</v>
      </c>
      <c r="O62" s="37"/>
      <c r="P62" s="125" t="str" cm="1">
        <f t="array" ref="P62">IFERROR(_xlfn._xlws.FILTER(E62,D62="Tractor"),"")</f>
        <v>Union PIV ET PIP DE Fanaye</v>
      </c>
      <c r="Q62" s="1" t="str">
        <v>ALIOU IBRAHIMA LY</v>
      </c>
      <c r="S62" s="125" t="str" cm="1">
        <f t="array" ref="S62">IFERROR(_xlfn._xlws.FILTER(E62,D62="Combine Harvester"),"")</f>
        <v/>
      </c>
      <c r="V62" s="130" t="s">
        <v>160</v>
      </c>
      <c r="W62" s="129" t="str">
        <f t="shared" si="0"/>
        <v>Private</v>
      </c>
      <c r="X62" s="130"/>
      <c r="Y62" s="130"/>
    </row>
    <row r="63" spans="1:25" ht="31">
      <c r="A63" s="65" t="s">
        <v>81</v>
      </c>
      <c r="B63" s="66" t="s">
        <v>176</v>
      </c>
      <c r="C63" s="66" t="s">
        <v>22</v>
      </c>
      <c r="D63" s="66" t="s">
        <v>334</v>
      </c>
      <c r="E63" s="66" t="s">
        <v>138</v>
      </c>
      <c r="F63" s="66" t="s">
        <v>341</v>
      </c>
      <c r="G63" s="66" t="s">
        <v>139</v>
      </c>
      <c r="H63" s="67" t="s">
        <v>140</v>
      </c>
      <c r="I63" s="66" t="s">
        <v>388</v>
      </c>
      <c r="J63" s="66" t="s">
        <v>176</v>
      </c>
      <c r="K63" s="67">
        <v>2015</v>
      </c>
      <c r="L63" s="67" t="s">
        <v>28</v>
      </c>
      <c r="M63" s="67"/>
      <c r="N63" s="66" t="s">
        <v>354</v>
      </c>
      <c r="O63" s="37"/>
      <c r="P63" s="125" t="str" cm="1">
        <f t="array" ref="P63">IFERROR(_xlfn._xlws.FILTER(E63,D63="Tractor"),"")</f>
        <v>NDIEURBA SP2</v>
      </c>
      <c r="Q63" s="1" t="str">
        <v>GIE HAABADE BASSAL</v>
      </c>
      <c r="S63" s="125" t="str" cm="1">
        <f t="array" ref="S63">IFERROR(_xlfn._xlws.FILTER(E63,D63="Combine Harvester"),"")</f>
        <v/>
      </c>
      <c r="V63" s="130" t="s">
        <v>166</v>
      </c>
      <c r="W63" s="129" t="str">
        <f t="shared" si="0"/>
        <v>Union</v>
      </c>
      <c r="X63" s="130"/>
      <c r="Y63" s="130"/>
    </row>
    <row r="64" spans="1:25" ht="31">
      <c r="A64" s="65" t="s">
        <v>81</v>
      </c>
      <c r="B64" s="66" t="s">
        <v>176</v>
      </c>
      <c r="C64" s="66" t="s">
        <v>22</v>
      </c>
      <c r="D64" s="66" t="s">
        <v>334</v>
      </c>
      <c r="E64" s="66" t="s">
        <v>141</v>
      </c>
      <c r="F64" s="66" t="s">
        <v>341</v>
      </c>
      <c r="G64" s="66" t="s">
        <v>142</v>
      </c>
      <c r="H64" s="67" t="s">
        <v>143</v>
      </c>
      <c r="I64" s="66" t="s">
        <v>388</v>
      </c>
      <c r="J64" s="66" t="s">
        <v>176</v>
      </c>
      <c r="K64" s="67">
        <v>2015</v>
      </c>
      <c r="L64" s="67" t="s">
        <v>28</v>
      </c>
      <c r="M64" s="67"/>
      <c r="N64" s="66" t="s">
        <v>354</v>
      </c>
      <c r="O64" s="37"/>
      <c r="P64" s="125" t="str" cm="1">
        <f t="array" ref="P64">IFERROR(_xlfn._xlws.FILTER(E64,D64="Tractor"),"")</f>
        <v>SP1 NGORO FANAYE</v>
      </c>
      <c r="Q64" s="1" t="str">
        <v>Union Dental MCA</v>
      </c>
      <c r="S64" s="125" t="str" cm="1">
        <f t="array" ref="S64">IFERROR(_xlfn._xlws.FILTER(E64,D64="Combine Harvester"),"")</f>
        <v/>
      </c>
      <c r="V64" s="130" t="s">
        <v>202</v>
      </c>
      <c r="W64" s="129" t="str">
        <f t="shared" si="0"/>
        <v>Union</v>
      </c>
      <c r="X64" s="130"/>
      <c r="Y64" s="130"/>
    </row>
    <row r="65" spans="1:25" s="2" customFormat="1" ht="31">
      <c r="A65" s="75" t="s">
        <v>81</v>
      </c>
      <c r="B65" s="76" t="s">
        <v>176</v>
      </c>
      <c r="C65" s="76" t="s">
        <v>285</v>
      </c>
      <c r="D65" s="66" t="s">
        <v>334</v>
      </c>
      <c r="E65" s="76" t="s">
        <v>147</v>
      </c>
      <c r="F65" s="65" t="s">
        <v>342</v>
      </c>
      <c r="G65" s="76" t="s">
        <v>148</v>
      </c>
      <c r="H65" s="77" t="s">
        <v>245</v>
      </c>
      <c r="I65" s="66" t="s">
        <v>388</v>
      </c>
      <c r="J65" s="76" t="s">
        <v>176</v>
      </c>
      <c r="K65" s="77">
        <v>2018</v>
      </c>
      <c r="L65" s="77" t="s">
        <v>28</v>
      </c>
      <c r="M65" s="77"/>
      <c r="N65" s="76" t="s">
        <v>356</v>
      </c>
      <c r="O65" s="55" t="s">
        <v>283</v>
      </c>
      <c r="P65" s="125" t="str" cm="1">
        <f t="array" ref="P65">IFERROR(_xlfn._xlws.FILTER(E65,D65="Tractor"),"")</f>
        <v xml:space="preserve"> CODOU DIOP</v>
      </c>
      <c r="Q65" s="2" t="str">
        <v>Union des SUMAS de Nianga</v>
      </c>
      <c r="S65" s="125" t="str" cm="1">
        <f t="array" ref="S65">IFERROR(_xlfn._xlws.FILTER(E65,D65="Combine Harvester"),"")</f>
        <v/>
      </c>
      <c r="V65" s="130" t="s">
        <v>156</v>
      </c>
      <c r="W65" s="129" t="str">
        <f t="shared" si="0"/>
        <v>Private</v>
      </c>
      <c r="X65" s="131"/>
      <c r="Y65" s="131"/>
    </row>
    <row r="66" spans="1:25" ht="31">
      <c r="A66" s="75" t="s">
        <v>81</v>
      </c>
      <c r="B66" s="76" t="s">
        <v>176</v>
      </c>
      <c r="C66" s="76" t="s">
        <v>285</v>
      </c>
      <c r="D66" s="66" t="s">
        <v>334</v>
      </c>
      <c r="E66" s="76" t="s">
        <v>149</v>
      </c>
      <c r="F66" s="76" t="s">
        <v>341</v>
      </c>
      <c r="G66" s="76" t="s">
        <v>150</v>
      </c>
      <c r="H66" s="77" t="s">
        <v>143</v>
      </c>
      <c r="I66" s="66" t="s">
        <v>388</v>
      </c>
      <c r="J66" s="76" t="s">
        <v>176</v>
      </c>
      <c r="K66" s="77">
        <v>2018</v>
      </c>
      <c r="L66" s="77" t="s">
        <v>28</v>
      </c>
      <c r="M66" s="77"/>
      <c r="N66" s="76" t="s">
        <v>354</v>
      </c>
      <c r="O66" s="42" t="s">
        <v>284</v>
      </c>
      <c r="P66" s="125" t="str" cm="1">
        <f t="array" ref="P66">IFERROR(_xlfn._xlws.FILTER(E66,D66="Tractor"),"")</f>
        <v>UNION DES GIE DE NGORO FANAYE</v>
      </c>
      <c r="Q66" s="1" t="str">
        <v>SERIGNE ABDOURAHMANE NIANE</v>
      </c>
      <c r="S66" s="125" t="str" cm="1">
        <f t="array" ref="S66">IFERROR(_xlfn._xlws.FILTER(E66,D66="Combine Harvester"),"")</f>
        <v/>
      </c>
      <c r="W66" s="1" t="str">
        <f t="shared" si="0"/>
        <v/>
      </c>
    </row>
    <row r="67" spans="1:25" ht="31">
      <c r="A67" s="65" t="s">
        <v>81</v>
      </c>
      <c r="B67" s="65" t="s">
        <v>176</v>
      </c>
      <c r="C67" s="66" t="s">
        <v>203</v>
      </c>
      <c r="D67" s="65" t="s">
        <v>335</v>
      </c>
      <c r="E67" s="111" t="s">
        <v>212</v>
      </c>
      <c r="F67" s="65" t="s">
        <v>15</v>
      </c>
      <c r="G67" s="65" t="s">
        <v>180</v>
      </c>
      <c r="H67" s="112" t="s">
        <v>217</v>
      </c>
      <c r="I67" s="65" t="s">
        <v>388</v>
      </c>
      <c r="J67" s="65" t="s">
        <v>226</v>
      </c>
      <c r="K67" s="89">
        <v>2024</v>
      </c>
      <c r="L67" s="89" t="s">
        <v>182</v>
      </c>
      <c r="M67" s="89"/>
      <c r="N67" s="65" t="s">
        <v>354</v>
      </c>
      <c r="O67"/>
      <c r="P67" s="125" t="str" cm="1">
        <f t="array" ref="P67">IFERROR(_xlfn._xlws.FILTER(E67,D67="Tractor"),"")</f>
        <v/>
      </c>
      <c r="S67" s="125" t="str" cm="1">
        <f t="array" ref="S67">IFERROR(_xlfn._xlws.FILTER(E67,D67="Combine Harvester"),"")</f>
        <v xml:space="preserve">Union des GIE de Ngoro Fanaye, </v>
      </c>
      <c r="V67" s="1" t="s">
        <v>341</v>
      </c>
      <c r="W67" s="1">
        <f>COUNTIF($W$3:$W$65,V67)</f>
        <v>41</v>
      </c>
      <c r="X67" s="1" t="s">
        <v>341</v>
      </c>
      <c r="Y67" s="1">
        <f>COUNTIF($Y$3:$Y$65,X67)</f>
        <v>13</v>
      </c>
    </row>
    <row r="68" spans="1:25" ht="31">
      <c r="A68" s="65" t="s">
        <v>81</v>
      </c>
      <c r="B68" s="65" t="s">
        <v>176</v>
      </c>
      <c r="C68" s="66" t="s">
        <v>261</v>
      </c>
      <c r="D68" s="66" t="s">
        <v>334</v>
      </c>
      <c r="E68" s="111" t="s">
        <v>262</v>
      </c>
      <c r="F68" s="65" t="s">
        <v>15</v>
      </c>
      <c r="G68" s="65" t="s">
        <v>264</v>
      </c>
      <c r="H68" s="112" t="s">
        <v>265</v>
      </c>
      <c r="I68" s="65" t="s">
        <v>388</v>
      </c>
      <c r="J68" s="65" t="s">
        <v>226</v>
      </c>
      <c r="K68" s="89">
        <v>2024</v>
      </c>
      <c r="L68" s="89" t="s">
        <v>266</v>
      </c>
      <c r="M68" s="117" t="s">
        <v>267</v>
      </c>
      <c r="N68" s="65" t="s">
        <v>354</v>
      </c>
      <c r="O68"/>
      <c r="P68" s="125" t="str" cm="1">
        <f t="array" ref="P68">IFERROR(_xlfn._xlws.FILTER(E68,D68="Tractor"),"")</f>
        <v>Village de Diagnoum</v>
      </c>
      <c r="S68" s="125" t="str" cm="1">
        <f t="array" ref="S68">IFERROR(_xlfn._xlws.FILTER(E68,D68="Combine Harvester"),"")</f>
        <v/>
      </c>
      <c r="V68" s="1" t="s">
        <v>342</v>
      </c>
      <c r="W68" s="1">
        <f>COUNTIF($W$3:$W$65,V68)</f>
        <v>20</v>
      </c>
      <c r="X68" s="1" t="s">
        <v>342</v>
      </c>
      <c r="Y68" s="1">
        <f>COUNTIF($Y$3:$Y$65,X68)</f>
        <v>4</v>
      </c>
    </row>
    <row r="69" spans="1:25" s="36" customFormat="1" ht="31">
      <c r="A69" s="65" t="s">
        <v>81</v>
      </c>
      <c r="B69" s="65" t="s">
        <v>176</v>
      </c>
      <c r="C69" s="66" t="s">
        <v>261</v>
      </c>
      <c r="D69" s="66" t="s">
        <v>334</v>
      </c>
      <c r="E69" s="111" t="s">
        <v>268</v>
      </c>
      <c r="F69" s="65" t="s">
        <v>15</v>
      </c>
      <c r="G69" s="65" t="s">
        <v>269</v>
      </c>
      <c r="H69" s="112" t="s">
        <v>270</v>
      </c>
      <c r="I69" s="79" t="s">
        <v>399</v>
      </c>
      <c r="J69" s="65" t="s">
        <v>226</v>
      </c>
      <c r="K69" s="89">
        <v>2024</v>
      </c>
      <c r="L69" s="89" t="s">
        <v>266</v>
      </c>
      <c r="M69" s="117" t="s">
        <v>267</v>
      </c>
      <c r="N69" s="65" t="s">
        <v>354</v>
      </c>
      <c r="O69"/>
      <c r="P69" s="125" t="str" cm="1">
        <f t="array" ref="P69">IFERROR(_xlfn._xlws.FILTER(E69,D69="Tractor"),"")</f>
        <v>Village de Thillé Boubacar</v>
      </c>
      <c r="S69" s="125" t="str" cm="1">
        <f t="array" ref="S69">IFERROR(_xlfn._xlws.FILTER(E69,D69="Combine Harvester"),"")</f>
        <v/>
      </c>
      <c r="V69" s="36" t="s">
        <v>344</v>
      </c>
      <c r="W69" s="1">
        <f>COUNTIF($W$3:$W$65,V69)</f>
        <v>2</v>
      </c>
      <c r="X69" s="36" t="s">
        <v>344</v>
      </c>
      <c r="Y69" s="1">
        <f>COUNTIF($Y$3:$Y$65,X69)</f>
        <v>1</v>
      </c>
    </row>
    <row r="70" spans="1:25" s="36" customFormat="1" ht="31">
      <c r="A70" s="65" t="s">
        <v>81</v>
      </c>
      <c r="B70" s="65" t="s">
        <v>176</v>
      </c>
      <c r="C70" s="66" t="s">
        <v>272</v>
      </c>
      <c r="D70" s="65" t="s">
        <v>335</v>
      </c>
      <c r="E70" s="111" t="s">
        <v>273</v>
      </c>
      <c r="F70" s="65" t="s">
        <v>343</v>
      </c>
      <c r="G70" s="65" t="s">
        <v>280</v>
      </c>
      <c r="H70" s="112" t="s">
        <v>281</v>
      </c>
      <c r="I70" s="79" t="s">
        <v>399</v>
      </c>
      <c r="J70" s="65" t="s">
        <v>275</v>
      </c>
      <c r="K70" s="89">
        <v>2024</v>
      </c>
      <c r="L70" s="89" t="s">
        <v>276</v>
      </c>
      <c r="M70" s="89" t="s">
        <v>277</v>
      </c>
      <c r="N70" s="89" t="s">
        <v>354</v>
      </c>
      <c r="O70"/>
      <c r="P70" s="125" t="str" cm="1">
        <f t="array" ref="P70">IFERROR(_xlfn._xlws.FILTER(E70,D70="Tractor"),"")</f>
        <v/>
      </c>
      <c r="S70" s="125" t="str" cm="1">
        <f t="array" ref="S70">IFERROR(_xlfn._xlws.FILTER(E70,D70="Combine Harvester"),"")</f>
        <v>COOP Toro KOICA</v>
      </c>
    </row>
    <row r="71" spans="1:25" s="36" customFormat="1" ht="53.4" customHeight="1">
      <c r="A71" s="65" t="s">
        <v>81</v>
      </c>
      <c r="B71" s="65" t="s">
        <v>176</v>
      </c>
      <c r="C71" s="66" t="s">
        <v>272</v>
      </c>
      <c r="D71" s="65" t="s">
        <v>335</v>
      </c>
      <c r="E71" s="111" t="s">
        <v>273</v>
      </c>
      <c r="F71" s="78" t="s">
        <v>343</v>
      </c>
      <c r="G71" s="65" t="s">
        <v>280</v>
      </c>
      <c r="H71" s="112" t="s">
        <v>281</v>
      </c>
      <c r="I71" s="79" t="s">
        <v>399</v>
      </c>
      <c r="J71" s="65" t="s">
        <v>275</v>
      </c>
      <c r="K71" s="89">
        <v>2024</v>
      </c>
      <c r="L71" s="89" t="s">
        <v>276</v>
      </c>
      <c r="M71" s="89" t="s">
        <v>277</v>
      </c>
      <c r="N71" s="89" t="s">
        <v>354</v>
      </c>
      <c r="O71" s="30"/>
      <c r="P71" s="125" t="str" cm="1">
        <f t="array" ref="P71">IFERROR(_xlfn._xlws.FILTER(E71,D71="Tractor"),"")</f>
        <v/>
      </c>
      <c r="S71" s="125" t="str" cm="1">
        <f t="array" ref="S71">IFERROR(_xlfn._xlws.FILTER(E71,D71="Combine Harvester"),"")</f>
        <v>COOP Toro KOICA</v>
      </c>
    </row>
    <row r="72" spans="1:25" s="36" customFormat="1" ht="38" customHeight="1">
      <c r="A72" s="65" t="s">
        <v>81</v>
      </c>
      <c r="B72" s="65" t="s">
        <v>176</v>
      </c>
      <c r="C72" s="66" t="s">
        <v>336</v>
      </c>
      <c r="D72" s="65" t="s">
        <v>335</v>
      </c>
      <c r="E72" s="111" t="s">
        <v>273</v>
      </c>
      <c r="F72" s="65" t="s">
        <v>343</v>
      </c>
      <c r="G72" s="65" t="s">
        <v>280</v>
      </c>
      <c r="H72" s="112" t="s">
        <v>281</v>
      </c>
      <c r="I72" s="79" t="s">
        <v>399</v>
      </c>
      <c r="J72" s="65" t="s">
        <v>275</v>
      </c>
      <c r="K72" s="89">
        <v>2024</v>
      </c>
      <c r="L72" s="89" t="s">
        <v>276</v>
      </c>
      <c r="M72" s="89" t="s">
        <v>277</v>
      </c>
      <c r="N72" s="89" t="s">
        <v>354</v>
      </c>
      <c r="O72" s="30"/>
      <c r="P72" s="125" t="str" cm="1">
        <f t="array" ref="P72">IFERROR(_xlfn._xlws.FILTER(E72,D72="Tractor"),"")</f>
        <v/>
      </c>
      <c r="S72" s="125" t="str" cm="1">
        <f t="array" ref="S72">IFERROR(_xlfn._xlws.FILTER(E72,D72="Combine Harvester"),"")</f>
        <v>COOP Toro KOICA</v>
      </c>
    </row>
    <row r="73" spans="1:25" s="36" customFormat="1" ht="31">
      <c r="A73" s="65" t="s">
        <v>81</v>
      </c>
      <c r="B73" s="65" t="s">
        <v>176</v>
      </c>
      <c r="C73" s="66" t="s">
        <v>286</v>
      </c>
      <c r="D73" s="66" t="s">
        <v>334</v>
      </c>
      <c r="E73" s="111" t="s">
        <v>273</v>
      </c>
      <c r="F73" s="65" t="s">
        <v>344</v>
      </c>
      <c r="G73" s="65" t="s">
        <v>280</v>
      </c>
      <c r="H73" s="112" t="s">
        <v>281</v>
      </c>
      <c r="I73" s="79" t="s">
        <v>399</v>
      </c>
      <c r="J73" s="65" t="s">
        <v>226</v>
      </c>
      <c r="K73" s="89">
        <v>2024</v>
      </c>
      <c r="L73" s="89" t="s">
        <v>276</v>
      </c>
      <c r="M73" s="89" t="s">
        <v>267</v>
      </c>
      <c r="N73" s="89" t="s">
        <v>354</v>
      </c>
      <c r="O73" s="30"/>
      <c r="P73" s="125" t="str" cm="1">
        <f t="array" ref="P73">IFERROR(_xlfn._xlws.FILTER(E73,D73="Tractor"),"")</f>
        <v>COOP Toro KOICA</v>
      </c>
      <c r="S73" s="125" t="str" cm="1">
        <f t="array" ref="S73">IFERROR(_xlfn._xlws.FILTER(E73,D73="Combine Harvester"),"")</f>
        <v/>
      </c>
    </row>
    <row r="74" spans="1:25" s="36" customFormat="1" ht="31">
      <c r="A74" s="65" t="s">
        <v>81</v>
      </c>
      <c r="B74" s="65" t="s">
        <v>176</v>
      </c>
      <c r="C74" s="66" t="s">
        <v>290</v>
      </c>
      <c r="D74" s="66" t="s">
        <v>334</v>
      </c>
      <c r="E74" s="111" t="s">
        <v>291</v>
      </c>
      <c r="F74" s="65" t="s">
        <v>342</v>
      </c>
      <c r="G74" s="65" t="s">
        <v>289</v>
      </c>
      <c r="H74" s="112" t="s">
        <v>292</v>
      </c>
      <c r="I74" s="79" t="s">
        <v>399</v>
      </c>
      <c r="J74" s="65" t="s">
        <v>226</v>
      </c>
      <c r="K74" s="89">
        <v>2024</v>
      </c>
      <c r="L74" s="89" t="s">
        <v>293</v>
      </c>
      <c r="M74" s="89" t="s">
        <v>259</v>
      </c>
      <c r="N74" s="89" t="s">
        <v>354</v>
      </c>
      <c r="O74" s="30"/>
      <c r="P74" s="125" t="str" cm="1">
        <f t="array" ref="P74">IFERROR(_xlfn._xlws.FILTER(E74,D74="Tractor"),"")</f>
        <v>Privé</v>
      </c>
      <c r="S74" s="125" t="str" cm="1">
        <f t="array" ref="S74">IFERROR(_xlfn._xlws.FILTER(E74,D74="Combine Harvester"),"")</f>
        <v/>
      </c>
    </row>
    <row r="75" spans="1:25" ht="31">
      <c r="A75" s="65" t="s">
        <v>81</v>
      </c>
      <c r="B75" s="65" t="s">
        <v>176</v>
      </c>
      <c r="C75" s="66" t="s">
        <v>294</v>
      </c>
      <c r="D75" s="65" t="s">
        <v>335</v>
      </c>
      <c r="E75" s="111" t="s">
        <v>291</v>
      </c>
      <c r="F75" s="78" t="s">
        <v>342</v>
      </c>
      <c r="G75" s="65" t="s">
        <v>289</v>
      </c>
      <c r="H75" s="112" t="s">
        <v>292</v>
      </c>
      <c r="I75" s="79" t="s">
        <v>399</v>
      </c>
      <c r="J75" s="65" t="s">
        <v>226</v>
      </c>
      <c r="K75" s="89">
        <v>2024</v>
      </c>
      <c r="L75" s="89" t="s">
        <v>293</v>
      </c>
      <c r="M75" s="89" t="s">
        <v>259</v>
      </c>
      <c r="N75" s="89" t="s">
        <v>354</v>
      </c>
      <c r="O75" s="30"/>
      <c r="P75" s="125" t="str" cm="1">
        <f t="array" ref="P75">IFERROR(_xlfn._xlws.FILTER(E75,D75="Tractor"),"")</f>
        <v/>
      </c>
      <c r="S75" s="125" t="str" cm="1">
        <f t="array" ref="S75">IFERROR(_xlfn._xlws.FILTER(E75,D75="Combine Harvester"),"")</f>
        <v>Privé</v>
      </c>
    </row>
    <row r="76" spans="1:25" ht="31">
      <c r="A76" s="65" t="s">
        <v>81</v>
      </c>
      <c r="B76" s="65" t="s">
        <v>176</v>
      </c>
      <c r="C76" s="66" t="s">
        <v>290</v>
      </c>
      <c r="D76" s="66" t="s">
        <v>334</v>
      </c>
      <c r="E76" s="111" t="s">
        <v>291</v>
      </c>
      <c r="F76" s="78" t="s">
        <v>342</v>
      </c>
      <c r="G76" s="65" t="s">
        <v>297</v>
      </c>
      <c r="H76" s="112" t="s">
        <v>298</v>
      </c>
      <c r="I76" s="79" t="s">
        <v>399</v>
      </c>
      <c r="J76" s="65" t="s">
        <v>226</v>
      </c>
      <c r="K76" s="89">
        <v>2016</v>
      </c>
      <c r="L76" s="89" t="s">
        <v>28</v>
      </c>
      <c r="M76" s="89" t="s">
        <v>259</v>
      </c>
      <c r="N76" s="89" t="s">
        <v>354</v>
      </c>
      <c r="O76" s="30"/>
      <c r="P76" s="125" t="str" cm="1">
        <f t="array" ref="P76">IFERROR(_xlfn._xlws.FILTER(E76,D76="Tractor"),"")</f>
        <v>Privé</v>
      </c>
      <c r="S76" s="125" t="str" cm="1">
        <f t="array" ref="S76">IFERROR(_xlfn._xlws.FILTER(E76,D76="Combine Harvester"),"")</f>
        <v/>
      </c>
    </row>
    <row r="77" spans="1:25" ht="46.5">
      <c r="A77" s="65" t="s">
        <v>81</v>
      </c>
      <c r="B77" s="66" t="s">
        <v>176</v>
      </c>
      <c r="C77" s="66" t="s">
        <v>56</v>
      </c>
      <c r="D77" s="66" t="s">
        <v>334</v>
      </c>
      <c r="E77" s="66" t="s">
        <v>60</v>
      </c>
      <c r="F77" s="79" t="s">
        <v>341</v>
      </c>
      <c r="G77" s="66" t="s">
        <v>61</v>
      </c>
      <c r="H77" s="67" t="s">
        <v>62</v>
      </c>
      <c r="I77" s="79" t="s">
        <v>399</v>
      </c>
      <c r="J77" s="66" t="s">
        <v>176</v>
      </c>
      <c r="K77" s="67">
        <v>2014</v>
      </c>
      <c r="L77" s="67" t="s">
        <v>18</v>
      </c>
      <c r="M77" s="67"/>
      <c r="N77" s="66" t="s">
        <v>357</v>
      </c>
      <c r="O77" s="30"/>
      <c r="P77" s="125" t="str" cm="1">
        <f t="array" ref="P77">IFERROR(_xlfn._xlws.FILTER(E77,D77="Tractor"),"")</f>
        <v>Union Cheikhou Oumar Loboudou Doué</v>
      </c>
      <c r="S77" s="125" t="str" cm="1">
        <f t="array" ref="S77">IFERROR(_xlfn._xlws.FILTER(E77,D77="Combine Harvester"),"")</f>
        <v/>
      </c>
    </row>
    <row r="78" spans="1:25" ht="46.5">
      <c r="A78" s="65" t="s">
        <v>81</v>
      </c>
      <c r="B78" s="66" t="s">
        <v>176</v>
      </c>
      <c r="C78" s="66" t="s">
        <v>12</v>
      </c>
      <c r="D78" s="66" t="s">
        <v>334</v>
      </c>
      <c r="E78" s="66" t="s">
        <v>130</v>
      </c>
      <c r="F78" s="79" t="s">
        <v>341</v>
      </c>
      <c r="G78" s="66" t="s">
        <v>131</v>
      </c>
      <c r="H78" s="67" t="s">
        <v>244</v>
      </c>
      <c r="I78" s="79" t="s">
        <v>399</v>
      </c>
      <c r="J78" s="66" t="s">
        <v>176</v>
      </c>
      <c r="K78" s="67">
        <v>2014</v>
      </c>
      <c r="L78" s="67" t="s">
        <v>18</v>
      </c>
      <c r="M78" s="67"/>
      <c r="N78" s="66" t="s">
        <v>357</v>
      </c>
      <c r="O78" s="30"/>
      <c r="P78" s="125" t="str" cm="1">
        <f t="array" ref="P78">IFERROR(_xlfn._xlws.FILTER(E78,D78="Tractor"),"")</f>
        <v>FEGINA  - NGALLENKA AMONT</v>
      </c>
      <c r="S78" s="125" t="str" cm="1">
        <f t="array" ref="S78">IFERROR(_xlfn._xlws.FILTER(E78,D78="Combine Harvester"),"")</f>
        <v/>
      </c>
    </row>
    <row r="79" spans="1:25" ht="46.5">
      <c r="A79" s="65" t="s">
        <v>81</v>
      </c>
      <c r="B79" s="66" t="s">
        <v>176</v>
      </c>
      <c r="C79" s="66" t="s">
        <v>56</v>
      </c>
      <c r="D79" s="66" t="s">
        <v>334</v>
      </c>
      <c r="E79" s="91" t="s">
        <v>133</v>
      </c>
      <c r="F79" s="91" t="s">
        <v>341</v>
      </c>
      <c r="G79" s="91" t="s">
        <v>155</v>
      </c>
      <c r="H79" s="95" t="s">
        <v>134</v>
      </c>
      <c r="I79" s="79" t="s">
        <v>399</v>
      </c>
      <c r="J79" s="66" t="s">
        <v>176</v>
      </c>
      <c r="K79" s="95">
        <v>2014</v>
      </c>
      <c r="L79" s="95" t="s">
        <v>18</v>
      </c>
      <c r="M79" s="95"/>
      <c r="N79" s="91" t="s">
        <v>354</v>
      </c>
      <c r="O79"/>
      <c r="P79" s="125" t="str" cm="1">
        <f t="array" ref="P79">IFERROR(_xlfn._xlws.FILTER(E79,D79="Tractor"),"")</f>
        <v>Union Thillé thiangaye</v>
      </c>
      <c r="S79" s="125" t="str" cm="1">
        <f t="array" ref="S79">IFERROR(_xlfn._xlws.FILTER(E79,D79="Combine Harvester"),"")</f>
        <v/>
      </c>
    </row>
    <row r="80" spans="1:25" s="36" customFormat="1" ht="43.25" customHeight="1">
      <c r="A80" s="78" t="s">
        <v>81</v>
      </c>
      <c r="B80" s="79" t="s">
        <v>176</v>
      </c>
      <c r="C80" s="79" t="s">
        <v>56</v>
      </c>
      <c r="D80" s="66" t="s">
        <v>334</v>
      </c>
      <c r="E80" s="79" t="s">
        <v>135</v>
      </c>
      <c r="F80" s="79" t="s">
        <v>341</v>
      </c>
      <c r="G80" s="79" t="s">
        <v>136</v>
      </c>
      <c r="H80" s="94" t="s">
        <v>137</v>
      </c>
      <c r="I80" s="79" t="s">
        <v>399</v>
      </c>
      <c r="J80" s="79" t="s">
        <v>176</v>
      </c>
      <c r="K80" s="94">
        <v>2014</v>
      </c>
      <c r="L80" s="94" t="s">
        <v>18</v>
      </c>
      <c r="M80" s="94"/>
      <c r="N80" s="79" t="s">
        <v>354</v>
      </c>
      <c r="O80" s="44" t="s">
        <v>278</v>
      </c>
      <c r="P80" s="125" t="str" cm="1">
        <f t="array" ref="P80">IFERROR(_xlfn._xlws.FILTER(E80,D80="Tractor"),"")</f>
        <v>Dental MCA</v>
      </c>
      <c r="S80" s="125" t="str" cm="1">
        <f t="array" ref="S80">IFERROR(_xlfn._xlws.FILTER(E80,D80="Combine Harvester"),"")</f>
        <v/>
      </c>
    </row>
    <row r="81" spans="1:19" s="36" customFormat="1" ht="31">
      <c r="A81" s="78" t="s">
        <v>81</v>
      </c>
      <c r="B81" s="79" t="s">
        <v>176</v>
      </c>
      <c r="C81" s="79" t="s">
        <v>22</v>
      </c>
      <c r="D81" s="79" t="s">
        <v>334</v>
      </c>
      <c r="E81" s="79" t="s">
        <v>144</v>
      </c>
      <c r="F81" s="79" t="s">
        <v>341</v>
      </c>
      <c r="G81" s="79" t="s">
        <v>145</v>
      </c>
      <c r="H81" s="94" t="s">
        <v>146</v>
      </c>
      <c r="I81" s="79" t="s">
        <v>399</v>
      </c>
      <c r="J81" s="79" t="s">
        <v>176</v>
      </c>
      <c r="K81" s="94">
        <v>2015</v>
      </c>
      <c r="L81" s="94" t="s">
        <v>28</v>
      </c>
      <c r="M81" s="94"/>
      <c r="N81" s="79" t="s">
        <v>354</v>
      </c>
      <c r="O81" s="37"/>
      <c r="P81" s="125" t="str" cm="1">
        <f t="array" ref="P81">IFERROR(_xlfn._xlws.FILTER(E81,D81="Tractor"),"")</f>
        <v>UNION SUMA NIANGA</v>
      </c>
      <c r="S81" s="125" t="str" cm="1">
        <f t="array" ref="S81">IFERROR(_xlfn._xlws.FILTER(E81,D81="Combine Harvester"),"")</f>
        <v/>
      </c>
    </row>
    <row r="82" spans="1:19" s="36" customFormat="1" ht="31">
      <c r="A82" s="86" t="s">
        <v>81</v>
      </c>
      <c r="B82" s="87" t="s">
        <v>176</v>
      </c>
      <c r="C82" s="87" t="s">
        <v>285</v>
      </c>
      <c r="D82" s="79" t="s">
        <v>334</v>
      </c>
      <c r="E82" s="87" t="s">
        <v>151</v>
      </c>
      <c r="F82" s="87" t="s">
        <v>341</v>
      </c>
      <c r="G82" s="87" t="s">
        <v>152</v>
      </c>
      <c r="H82" s="88" t="s">
        <v>246</v>
      </c>
      <c r="I82" s="78" t="s">
        <v>399</v>
      </c>
      <c r="J82" s="87" t="s">
        <v>176</v>
      </c>
      <c r="K82" s="88">
        <v>2018</v>
      </c>
      <c r="L82" s="88" t="s">
        <v>28</v>
      </c>
      <c r="M82" s="88"/>
      <c r="N82" s="87" t="s">
        <v>354</v>
      </c>
      <c r="O82" s="37"/>
      <c r="P82" s="125" t="str" cm="1">
        <f t="array" ref="P82">IFERROR(_xlfn._xlws.FILTER(E82,D82="Tractor"),"")</f>
        <v>UNION DES PIV DE NIANDANE</v>
      </c>
      <c r="S82" s="125" t="str" cm="1">
        <f t="array" ref="S82">IFERROR(_xlfn._xlws.FILTER(E82,D82="Combine Harvester"),"")</f>
        <v/>
      </c>
    </row>
    <row r="83" spans="1:19" ht="31">
      <c r="A83" s="86" t="s">
        <v>81</v>
      </c>
      <c r="B83" s="87" t="s">
        <v>176</v>
      </c>
      <c r="C83" s="87" t="s">
        <v>285</v>
      </c>
      <c r="D83" s="66" t="s">
        <v>334</v>
      </c>
      <c r="E83" s="87" t="s">
        <v>154</v>
      </c>
      <c r="F83" s="87" t="s">
        <v>15</v>
      </c>
      <c r="G83" s="87" t="s">
        <v>155</v>
      </c>
      <c r="H83" s="88" t="s">
        <v>134</v>
      </c>
      <c r="I83" s="78" t="s">
        <v>399</v>
      </c>
      <c r="J83" s="87" t="s">
        <v>176</v>
      </c>
      <c r="K83" s="88">
        <v>2018</v>
      </c>
      <c r="L83" s="88" t="s">
        <v>28</v>
      </c>
      <c r="M83" s="88"/>
      <c r="N83" s="87" t="s">
        <v>354</v>
      </c>
      <c r="O83" s="37"/>
      <c r="P83" s="125" t="str" cm="1">
        <f t="array" ref="P83">IFERROR(_xlfn._xlws.FILTER(E83,D83="Tractor"),"")</f>
        <v>UNION THILLE - THIANGAYE</v>
      </c>
      <c r="S83" s="125" t="str" cm="1">
        <f t="array" ref="S83">IFERROR(_xlfn._xlws.FILTER(E83,D83="Combine Harvester"),"")</f>
        <v/>
      </c>
    </row>
    <row r="84" spans="1:19" s="36" customFormat="1" ht="31">
      <c r="A84" s="86" t="s">
        <v>81</v>
      </c>
      <c r="B84" s="87" t="s">
        <v>176</v>
      </c>
      <c r="C84" s="87" t="s">
        <v>285</v>
      </c>
      <c r="D84" s="79" t="s">
        <v>334</v>
      </c>
      <c r="E84" s="87" t="s">
        <v>157</v>
      </c>
      <c r="F84" s="78" t="s">
        <v>342</v>
      </c>
      <c r="G84" s="87" t="s">
        <v>158</v>
      </c>
      <c r="H84" s="88" t="s">
        <v>248</v>
      </c>
      <c r="I84" s="78" t="s">
        <v>399</v>
      </c>
      <c r="J84" s="87" t="s">
        <v>176</v>
      </c>
      <c r="K84" s="88">
        <v>2018</v>
      </c>
      <c r="L84" s="88" t="s">
        <v>28</v>
      </c>
      <c r="M84" s="88"/>
      <c r="N84" s="87" t="s">
        <v>354</v>
      </c>
      <c r="O84"/>
      <c r="P84" s="125" t="str" cm="1">
        <f t="array" ref="P84">IFERROR(_xlfn._xlws.FILTER(E84,D84="Tractor"),"")</f>
        <v xml:space="preserve">GIE FOUTA TORO </v>
      </c>
      <c r="S84" s="125" t="str" cm="1">
        <f t="array" ref="S84">IFERROR(_xlfn._xlws.FILTER(E84,D84="Combine Harvester"),"")</f>
        <v/>
      </c>
    </row>
    <row r="85" spans="1:19" s="36" customFormat="1" ht="31">
      <c r="A85" s="86" t="s">
        <v>81</v>
      </c>
      <c r="B85" s="87" t="s">
        <v>176</v>
      </c>
      <c r="C85" s="87" t="s">
        <v>285</v>
      </c>
      <c r="D85" s="66" t="s">
        <v>334</v>
      </c>
      <c r="E85" s="87" t="s">
        <v>159</v>
      </c>
      <c r="F85" s="78" t="s">
        <v>342</v>
      </c>
      <c r="G85" s="87" t="s">
        <v>159</v>
      </c>
      <c r="H85" s="88" t="s">
        <v>249</v>
      </c>
      <c r="I85" s="78" t="s">
        <v>399</v>
      </c>
      <c r="J85" s="87" t="s">
        <v>176</v>
      </c>
      <c r="K85" s="88">
        <v>2018</v>
      </c>
      <c r="L85" s="88" t="s">
        <v>28</v>
      </c>
      <c r="M85" s="88"/>
      <c r="N85" s="87" t="s">
        <v>354</v>
      </c>
      <c r="O85" s="37"/>
      <c r="P85" s="125" t="str" cm="1">
        <f t="array" ref="P85">IFERROR(_xlfn._xlws.FILTER(E85,D85="Tractor"),"")</f>
        <v>ALIOU IBRAHIMA LY</v>
      </c>
      <c r="S85" s="125" t="str" cm="1">
        <f t="array" ref="S85">IFERROR(_xlfn._xlws.FILTER(E85,D85="Combine Harvester"),"")</f>
        <v/>
      </c>
    </row>
    <row r="86" spans="1:19" s="36" customFormat="1" ht="31">
      <c r="A86" s="86" t="s">
        <v>81</v>
      </c>
      <c r="B86" s="87" t="s">
        <v>176</v>
      </c>
      <c r="C86" s="87" t="s">
        <v>285</v>
      </c>
      <c r="D86" s="66" t="s">
        <v>334</v>
      </c>
      <c r="E86" s="87" t="s">
        <v>160</v>
      </c>
      <c r="F86" s="78" t="s">
        <v>342</v>
      </c>
      <c r="G86" s="87" t="s">
        <v>161</v>
      </c>
      <c r="H86" s="88" t="s">
        <v>250</v>
      </c>
      <c r="I86" s="78" t="s">
        <v>399</v>
      </c>
      <c r="J86" s="87" t="s">
        <v>176</v>
      </c>
      <c r="K86" s="88">
        <v>2018</v>
      </c>
      <c r="L86" s="88" t="s">
        <v>28</v>
      </c>
      <c r="M86" s="88"/>
      <c r="N86" s="87" t="s">
        <v>354</v>
      </c>
      <c r="O86" s="37"/>
      <c r="P86" s="125" t="str" cm="1">
        <f t="array" ref="P86">IFERROR(_xlfn._xlws.FILTER(E86,D86="Tractor"),"")</f>
        <v>GIE HAABADE BASSAL</v>
      </c>
      <c r="S86" s="125" t="str" cm="1">
        <f t="array" ref="S86">IFERROR(_xlfn._xlws.FILTER(E86,D86="Combine Harvester"),"")</f>
        <v/>
      </c>
    </row>
    <row r="87" spans="1:19" s="36" customFormat="1" ht="31">
      <c r="A87" s="78" t="s">
        <v>81</v>
      </c>
      <c r="B87" s="79" t="s">
        <v>176</v>
      </c>
      <c r="C87" s="79" t="s">
        <v>22</v>
      </c>
      <c r="D87" s="79" t="s">
        <v>334</v>
      </c>
      <c r="E87" s="79" t="s">
        <v>166</v>
      </c>
      <c r="F87" s="79" t="s">
        <v>341</v>
      </c>
      <c r="G87" s="79" t="s">
        <v>136</v>
      </c>
      <c r="H87" s="94" t="s">
        <v>137</v>
      </c>
      <c r="I87" s="78" t="s">
        <v>399</v>
      </c>
      <c r="J87" s="79" t="s">
        <v>176</v>
      </c>
      <c r="K87" s="94">
        <v>2016</v>
      </c>
      <c r="L87" s="94" t="s">
        <v>28</v>
      </c>
      <c r="M87" s="94"/>
      <c r="N87" s="79" t="s">
        <v>354</v>
      </c>
      <c r="O87" s="37"/>
      <c r="P87" s="125" t="str" cm="1">
        <f t="array" ref="P87">IFERROR(_xlfn._xlws.FILTER(E87,D87="Tractor"),"")</f>
        <v>Union Dental MCA</v>
      </c>
      <c r="S87" s="125" t="str" cm="1">
        <f t="array" ref="S87">IFERROR(_xlfn._xlws.FILTER(E87,D87="Combine Harvester"),"")</f>
        <v/>
      </c>
    </row>
    <row r="88" spans="1:19" s="36" customFormat="1" ht="31">
      <c r="A88" s="78" t="s">
        <v>81</v>
      </c>
      <c r="B88" s="78" t="s">
        <v>176</v>
      </c>
      <c r="C88" s="79" t="s">
        <v>192</v>
      </c>
      <c r="D88" s="79" t="s">
        <v>334</v>
      </c>
      <c r="E88" s="84" t="s">
        <v>202</v>
      </c>
      <c r="F88" s="78" t="s">
        <v>341</v>
      </c>
      <c r="G88" s="78" t="s">
        <v>204</v>
      </c>
      <c r="H88" s="81" t="s">
        <v>146</v>
      </c>
      <c r="I88" s="78" t="s">
        <v>399</v>
      </c>
      <c r="J88" s="78" t="s">
        <v>176</v>
      </c>
      <c r="K88" s="83">
        <v>2024</v>
      </c>
      <c r="L88" s="83" t="s">
        <v>182</v>
      </c>
      <c r="M88" s="83" t="s">
        <v>259</v>
      </c>
      <c r="N88" s="78" t="s">
        <v>354</v>
      </c>
      <c r="O88" s="37"/>
      <c r="P88" s="125" t="str" cm="1">
        <f t="array" ref="P88">IFERROR(_xlfn._xlws.FILTER(E88,D88="Tractor"),"")</f>
        <v>Union des SUMAS de Nianga</v>
      </c>
      <c r="S88" s="125" t="str" cm="1">
        <f t="array" ref="S88">IFERROR(_xlfn._xlws.FILTER(E88,D88="Combine Harvester"),"")</f>
        <v/>
      </c>
    </row>
    <row r="89" spans="1:19" ht="31">
      <c r="A89" s="78" t="s">
        <v>81</v>
      </c>
      <c r="B89" s="65" t="s">
        <v>176</v>
      </c>
      <c r="C89" s="79" t="s">
        <v>203</v>
      </c>
      <c r="D89" s="78" t="s">
        <v>335</v>
      </c>
      <c r="E89" s="84" t="s">
        <v>202</v>
      </c>
      <c r="F89" s="78" t="s">
        <v>15</v>
      </c>
      <c r="G89" s="78" t="s">
        <v>204</v>
      </c>
      <c r="H89" s="81" t="s">
        <v>146</v>
      </c>
      <c r="I89" s="78" t="s">
        <v>399</v>
      </c>
      <c r="J89" s="78" t="s">
        <v>176</v>
      </c>
      <c r="K89" s="83">
        <v>2024</v>
      </c>
      <c r="L89" s="83" t="s">
        <v>182</v>
      </c>
      <c r="M89" s="83" t="s">
        <v>259</v>
      </c>
      <c r="N89" s="78" t="s">
        <v>354</v>
      </c>
      <c r="O89" s="37"/>
      <c r="P89" s="125" t="str" cm="1">
        <f t="array" ref="P89">IFERROR(_xlfn._xlws.FILTER(E89,D89="Tractor"),"")</f>
        <v/>
      </c>
      <c r="S89" s="125" t="str" cm="1">
        <f t="array" ref="S89">IFERROR(_xlfn._xlws.FILTER(E89,D89="Combine Harvester"),"")</f>
        <v>Union des SUMAS de Nianga</v>
      </c>
    </row>
    <row r="90" spans="1:19" ht="31">
      <c r="A90" s="78" t="s">
        <v>81</v>
      </c>
      <c r="B90" s="79" t="s">
        <v>176</v>
      </c>
      <c r="C90" s="79" t="s">
        <v>328</v>
      </c>
      <c r="D90" s="66" t="s">
        <v>335</v>
      </c>
      <c r="E90" s="79" t="s">
        <v>162</v>
      </c>
      <c r="F90" s="78" t="s">
        <v>342</v>
      </c>
      <c r="G90" s="79" t="s">
        <v>162</v>
      </c>
      <c r="H90" s="94" t="s">
        <v>233</v>
      </c>
      <c r="I90" s="78" t="s">
        <v>425</v>
      </c>
      <c r="J90" s="79" t="s">
        <v>176</v>
      </c>
      <c r="K90" s="94">
        <v>2018</v>
      </c>
      <c r="L90" s="94" t="s">
        <v>28</v>
      </c>
      <c r="M90" s="94"/>
      <c r="N90" s="79" t="s">
        <v>357</v>
      </c>
      <c r="O90"/>
      <c r="P90" s="125" t="str" cm="1">
        <f t="array" ref="P90">IFERROR(_xlfn._xlws.FILTER(E90,D90="Tractor"),"")</f>
        <v/>
      </c>
      <c r="S90" s="125" t="str" cm="1">
        <f t="array" ref="S90">IFERROR(_xlfn._xlws.FILTER(E90,D90="Combine Harvester"),"")</f>
        <v>Boubacar Sall</v>
      </c>
    </row>
    <row r="91" spans="1:19" ht="31">
      <c r="A91" s="78" t="s">
        <v>81</v>
      </c>
      <c r="B91" s="79" t="s">
        <v>176</v>
      </c>
      <c r="C91" s="79" t="s">
        <v>326</v>
      </c>
      <c r="D91" s="66" t="s">
        <v>335</v>
      </c>
      <c r="E91" s="79" t="s">
        <v>171</v>
      </c>
      <c r="F91" s="79" t="s">
        <v>341</v>
      </c>
      <c r="G91" s="79" t="s">
        <v>173</v>
      </c>
      <c r="H91" s="114" t="s">
        <v>242</v>
      </c>
      <c r="I91" s="78" t="s">
        <v>425</v>
      </c>
      <c r="J91" s="79" t="s">
        <v>176</v>
      </c>
      <c r="K91" s="94">
        <v>2019</v>
      </c>
      <c r="L91" s="94" t="s">
        <v>28</v>
      </c>
      <c r="M91" s="94"/>
      <c r="N91" s="79" t="s">
        <v>357</v>
      </c>
      <c r="O91"/>
      <c r="P91" s="125" t="str" cm="1">
        <f t="array" ref="P91">IFERROR(_xlfn._xlws.FILTER(E91,D91="Tractor"),"")</f>
        <v/>
      </c>
      <c r="S91" s="125" t="str" cm="1">
        <f t="array" ref="S91">IFERROR(_xlfn._xlws.FILTER(E91,D91="Combine Harvester"),"")</f>
        <v>REFAN/PODOR</v>
      </c>
    </row>
    <row r="92" spans="1:19" ht="46.5">
      <c r="A92" s="86" t="s">
        <v>81</v>
      </c>
      <c r="B92" s="87" t="s">
        <v>176</v>
      </c>
      <c r="C92" s="87" t="s">
        <v>285</v>
      </c>
      <c r="D92" s="79" t="s">
        <v>334</v>
      </c>
      <c r="E92" s="87" t="s">
        <v>156</v>
      </c>
      <c r="F92" s="78" t="s">
        <v>342</v>
      </c>
      <c r="G92" s="87" t="s">
        <v>156</v>
      </c>
      <c r="H92" s="88" t="s">
        <v>247</v>
      </c>
      <c r="I92" s="78" t="s">
        <v>425</v>
      </c>
      <c r="J92" s="87" t="s">
        <v>176</v>
      </c>
      <c r="K92" s="88">
        <v>2018</v>
      </c>
      <c r="L92" s="88" t="s">
        <v>28</v>
      </c>
      <c r="M92" s="88"/>
      <c r="N92" s="87" t="s">
        <v>354</v>
      </c>
      <c r="O92"/>
      <c r="P92" s="125" t="str" cm="1">
        <f t="array" ref="P92">IFERROR(_xlfn._xlws.FILTER(E92,D92="Tractor"),"")</f>
        <v>SERIGNE ABDOURAHMANE NIANE</v>
      </c>
      <c r="S92" s="125" t="str" cm="1">
        <f t="array" ref="S92">IFERROR(_xlfn._xlws.FILTER(E92,D92="Combine Harvester"),"")</f>
        <v/>
      </c>
    </row>
    <row r="93" spans="1:19" ht="46.5">
      <c r="A93" s="78" t="s">
        <v>81</v>
      </c>
      <c r="B93" s="65" t="s">
        <v>176</v>
      </c>
      <c r="C93" s="79" t="s">
        <v>203</v>
      </c>
      <c r="D93" s="65" t="s">
        <v>335</v>
      </c>
      <c r="E93" s="84" t="s">
        <v>210</v>
      </c>
      <c r="F93" s="78" t="s">
        <v>15</v>
      </c>
      <c r="G93" s="78" t="s">
        <v>227</v>
      </c>
      <c r="H93" s="81" t="s">
        <v>215</v>
      </c>
      <c r="I93" s="78" t="s">
        <v>425</v>
      </c>
      <c r="J93" s="78" t="s">
        <v>225</v>
      </c>
      <c r="K93" s="83">
        <v>2024</v>
      </c>
      <c r="L93" s="83" t="s">
        <v>182</v>
      </c>
      <c r="M93" s="83" t="s">
        <v>259</v>
      </c>
      <c r="N93" s="78" t="s">
        <v>354</v>
      </c>
      <c r="O93"/>
      <c r="P93" s="125" t="str" cm="1">
        <f t="array" ref="P93">IFERROR(_xlfn._xlws.FILTER(E93,D93="Tractor"),"")</f>
        <v/>
      </c>
      <c r="S93" s="125" t="str" cm="1">
        <f t="array" ref="S93">IFERROR(_xlfn._xlws.FILTER(E93,D93="Combine Harvester"),"")</f>
        <v>Union GIE pour le Développement Intégré de Niandane</v>
      </c>
    </row>
    <row r="95" spans="1:19">
      <c r="C95" s="1" t="s">
        <v>337</v>
      </c>
      <c r="D95" s="1">
        <f>COUNTIF($D$3:$D$93,C95)</f>
        <v>69</v>
      </c>
      <c r="E95" s="1" t="s">
        <v>341</v>
      </c>
      <c r="F95" s="1">
        <f>COUNTIF($F$3:$F$93,E95)</f>
        <v>57</v>
      </c>
      <c r="H95" s="3" t="s">
        <v>221</v>
      </c>
      <c r="I95" s="1">
        <f>COUNTIF($I$3:$I$93,H95)</f>
        <v>10</v>
      </c>
      <c r="M95" s="5" t="s">
        <v>355</v>
      </c>
      <c r="N95" s="1">
        <f>COUNTIF($N$3:$N$93,M95)</f>
        <v>77</v>
      </c>
    </row>
    <row r="96" spans="1:19">
      <c r="C96" s="1" t="s">
        <v>338</v>
      </c>
      <c r="D96" s="1">
        <f>COUNTIF($D$3:$D$93,C96)</f>
        <v>22</v>
      </c>
      <c r="E96" s="1" t="s">
        <v>342</v>
      </c>
      <c r="F96" s="1">
        <f>COUNTIF($F$3:$F$93,E96)</f>
        <v>29</v>
      </c>
      <c r="H96" s="3" t="s">
        <v>205</v>
      </c>
      <c r="I96" s="1">
        <f t="shared" ref="I96:I110" si="2">COUNTIF($I$3:$I$93,H96)</f>
        <v>21</v>
      </c>
      <c r="M96" s="5" t="s">
        <v>357</v>
      </c>
      <c r="N96" s="1">
        <f>COUNTIF($N$3:$N$93,M96)</f>
        <v>14</v>
      </c>
    </row>
    <row r="97" spans="5:9">
      <c r="E97" s="1" t="s">
        <v>344</v>
      </c>
      <c r="F97" s="1">
        <f>COUNTIF($F$3:$F$93,E97)</f>
        <v>5</v>
      </c>
      <c r="H97" s="3" t="s">
        <v>218</v>
      </c>
      <c r="I97" s="1">
        <f t="shared" si="2"/>
        <v>4</v>
      </c>
    </row>
    <row r="98" spans="5:9">
      <c r="H98" s="3" t="s">
        <v>404</v>
      </c>
      <c r="I98" s="1">
        <f t="shared" si="2"/>
        <v>3</v>
      </c>
    </row>
    <row r="99" spans="5:9">
      <c r="H99" s="3" t="s">
        <v>313</v>
      </c>
      <c r="I99" s="1">
        <f t="shared" si="2"/>
        <v>6</v>
      </c>
    </row>
    <row r="100" spans="5:9">
      <c r="H100" s="3" t="s">
        <v>222</v>
      </c>
      <c r="I100" s="1">
        <f t="shared" si="2"/>
        <v>22</v>
      </c>
    </row>
    <row r="101" spans="5:9">
      <c r="H101" s="3" t="s">
        <v>220</v>
      </c>
      <c r="I101" s="1">
        <f t="shared" si="2"/>
        <v>3</v>
      </c>
    </row>
    <row r="102" spans="5:9">
      <c r="H102" s="3" t="s">
        <v>391</v>
      </c>
      <c r="I102" s="1">
        <f t="shared" si="2"/>
        <v>3</v>
      </c>
    </row>
    <row r="103" spans="5:9">
      <c r="H103" s="3" t="s">
        <v>209</v>
      </c>
      <c r="I103" s="1">
        <f t="shared" si="2"/>
        <v>5</v>
      </c>
    </row>
    <row r="104" spans="5:9">
      <c r="H104" s="3" t="s">
        <v>397</v>
      </c>
      <c r="I104" s="1">
        <f t="shared" si="2"/>
        <v>4</v>
      </c>
    </row>
    <row r="105" spans="5:9">
      <c r="H105" s="3" t="s">
        <v>393</v>
      </c>
      <c r="I105" s="1">
        <f t="shared" si="2"/>
        <v>5</v>
      </c>
    </row>
    <row r="106" spans="5:9">
      <c r="H106" s="3" t="s">
        <v>395</v>
      </c>
      <c r="I106" s="1">
        <f t="shared" si="2"/>
        <v>1</v>
      </c>
    </row>
    <row r="107" spans="5:9">
      <c r="H107" s="3" t="s">
        <v>401</v>
      </c>
      <c r="I107" s="1">
        <f t="shared" si="2"/>
        <v>1</v>
      </c>
    </row>
    <row r="108" spans="5:9">
      <c r="H108" s="3" t="s">
        <v>386</v>
      </c>
      <c r="I108" s="1">
        <f t="shared" si="2"/>
        <v>1</v>
      </c>
    </row>
    <row r="109" spans="5:9">
      <c r="H109" s="3" t="s">
        <v>384</v>
      </c>
      <c r="I109" s="1">
        <f t="shared" si="2"/>
        <v>1</v>
      </c>
    </row>
    <row r="110" spans="5:9">
      <c r="H110" s="3" t="s">
        <v>389</v>
      </c>
      <c r="I110" s="1">
        <f t="shared" si="2"/>
        <v>1</v>
      </c>
    </row>
  </sheetData>
  <autoFilter ref="A2:N93" xr:uid="{00000000-0009-0000-0000-000000000000}">
    <sortState xmlns:xlrd2="http://schemas.microsoft.com/office/spreadsheetml/2017/richdata2" ref="A3:N93">
      <sortCondition ref="B3:B93"/>
    </sortState>
  </autoFilter>
  <phoneticPr fontId="15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54454134AC704B98BB670FD01E8DE3" ma:contentTypeVersion="19" ma:contentTypeDescription="新しいドキュメントを作成します。" ma:contentTypeScope="" ma:versionID="557383042efcb14cec3603062f2d2799">
  <xsd:schema xmlns:xsd="http://www.w3.org/2001/XMLSchema" xmlns:xs="http://www.w3.org/2001/XMLSchema" xmlns:p="http://schemas.microsoft.com/office/2006/metadata/properties" xmlns:ns2="1f7d1ae4-ddff-4126-878a-b905e0cab9cc" xmlns:ns3="39e54fd4-1e45-4b18-9962-0f27396939ae" targetNamespace="http://schemas.microsoft.com/office/2006/metadata/properties" ma:root="true" ma:fieldsID="231538fd284f1f854ae4e0e422c65cac" ns2:_="" ns3:_="">
    <xsd:import namespace="1f7d1ae4-ddff-4126-878a-b905e0cab9cc"/>
    <xsd:import namespace="39e54fd4-1e45-4b18-9962-0f2739693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1ae4-ddff-4126-878a-b905e0cab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87369404-55ef-400a-bfde-7777e30f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54fd4-1e45-4b18-9962-0f2739693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5a4568e-bf35-46c2-8ea5-30810d45ff73}" ma:internalName="TaxCatchAll" ma:showField="CatchAllData" ma:web="39e54fd4-1e45-4b18-9962-0f2739693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54fd4-1e45-4b18-9962-0f27396939ae" xsi:nil="true"/>
    <lcf76f155ced4ddcb4097134ff3c332f xmlns="1f7d1ae4-ddff-4126-878a-b905e0cab9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C7F80-EAB3-4AFB-A6B4-08BD25883E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8FBF92-45F8-45F4-9928-4FAF7981A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1ae4-ddff-4126-878a-b905e0cab9cc"/>
    <ds:schemaRef ds:uri="39e54fd4-1e45-4b18-9962-0f2739693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CF626-66FB-46BC-9FE2-E44F63B6BD50}">
  <ds:schemaRefs>
    <ds:schemaRef ds:uri="http://schemas.microsoft.com/office/2006/metadata/properties"/>
    <ds:schemaRef ds:uri="http://schemas.microsoft.com/office/infopath/2007/PartnerControls"/>
    <ds:schemaRef ds:uri="39e54fd4-1e45-4b18-9962-0f27396939ae"/>
    <ds:schemaRef ds:uri="1f7d1ae4-ddff-4126-878a-b905e0cab9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Thillé</vt:lpstr>
      <vt:lpstr>Gamadji</vt:lpstr>
      <vt:lpstr>Cas Cas - Saldé</vt:lpstr>
      <vt:lpstr>Raw Data</vt:lpstr>
      <vt:lpstr>-&gt;Analysis</vt:lpstr>
      <vt:lpstr>Analysis</vt:lpstr>
      <vt:lpstr>Analysis_Commune</vt:lpstr>
      <vt:lpstr>List of Service Provider</vt:lpstr>
      <vt:lpstr>Analysis!Impression_des_titres</vt:lpstr>
      <vt:lpstr>Gamadji!Zone_d_impression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G8</dc:creator>
  <cp:lastModifiedBy>Hadji Johnson</cp:lastModifiedBy>
  <dcterms:created xsi:type="dcterms:W3CDTF">2023-12-04T10:51:43Z</dcterms:created>
  <dcterms:modified xsi:type="dcterms:W3CDTF">2025-12-14T10:48:16Z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0x0101001154454134AC704B98BB670FD01E8DE3</vt:lpwstr>
  </property>
  <property fmtid="{D5CDD505-2E9C-101B-9397-08002B2CF9AE}" pid="3" name="MediaServiceImageTags">
    <vt:lpwstr/>
  </property>
</Properties>
</file>