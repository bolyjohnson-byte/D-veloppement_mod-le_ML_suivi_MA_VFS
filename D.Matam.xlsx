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D3342AF-70AB-4F06-8BE9-33BB8528D338}" xr6:coauthVersionLast="47" xr6:coauthVersionMax="47" xr10:uidLastSave="{00000000-0000-0000-0000-000000000000}"/>
  <bookViews>
    <workbookView xWindow="-110" yWindow="-110" windowWidth="19420" windowHeight="10300" xr2:uid="{45F42FB0-7073-4233-A011-0620E4FE3885}"/>
  </bookViews>
  <sheets>
    <sheet name="Raw Data_modified" sheetId="5" r:id="rId1"/>
    <sheet name="Raw Data" sheetId="2" r:id="rId2"/>
    <sheet name="Analysis" sheetId="3" r:id="rId3"/>
    <sheet name="Analysis_Commune" sheetId="4" r:id="rId4"/>
  </sheets>
  <definedNames>
    <definedName name="_xlnm._FilterDatabase" localSheetId="1" hidden="1">#N/A</definedName>
    <definedName name="_xlnm._FilterDatabase" localSheetId="0" hidden="1">'Raw Data_modified'!$A$2:$R$111</definedName>
    <definedName name="_xlnm.Print_Titles" localSheetId="2">Analysis!$1:$1</definedName>
    <definedName name="_xlnm.Print_Area" localSheetId="2">Analysis!$A$1:$G$90</definedName>
  </definedName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5" l="1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6" i="5"/>
  <c r="G135" i="5"/>
  <c r="G134" i="5"/>
  <c r="G133" i="5"/>
  <c r="G132" i="5"/>
  <c r="G131" i="5"/>
  <c r="G130" i="5"/>
  <c r="V94" i="5" a="1"/>
  <c r="V94" i="5" s="1"/>
  <c r="T94" i="5" a="1"/>
  <c r="T94" i="5" s="1"/>
  <c r="V93" i="5" a="1"/>
  <c r="V93" i="5" s="1"/>
  <c r="T93" i="5" a="1"/>
  <c r="T93" i="5" s="1"/>
  <c r="V92" i="5" a="1"/>
  <c r="V92" i="5" s="1"/>
  <c r="T92" i="5" a="1"/>
  <c r="T92" i="5" s="1"/>
  <c r="V91" i="5" a="1"/>
  <c r="V91" i="5" s="1"/>
  <c r="T91" i="5" a="1"/>
  <c r="T91" i="5" s="1"/>
  <c r="V90" i="5" a="1"/>
  <c r="V90" i="5" s="1"/>
  <c r="T90" i="5" a="1"/>
  <c r="T90" i="5" s="1"/>
  <c r="V89" i="5" a="1"/>
  <c r="V89" i="5" s="1"/>
  <c r="T89" i="5" a="1"/>
  <c r="T89" i="5" s="1"/>
  <c r="V88" i="5" a="1"/>
  <c r="V88" i="5" s="1"/>
  <c r="T88" i="5" a="1"/>
  <c r="T88" i="5" s="1"/>
  <c r="V87" i="5" a="1"/>
  <c r="V87" i="5" s="1"/>
  <c r="T87" i="5" a="1"/>
  <c r="T87" i="5" s="1"/>
  <c r="V86" i="5" a="1"/>
  <c r="V86" i="5" s="1"/>
  <c r="T86" i="5" a="1"/>
  <c r="T86" i="5" s="1"/>
  <c r="V85" i="5" a="1"/>
  <c r="V85" i="5" s="1"/>
  <c r="T85" i="5" a="1"/>
  <c r="T85" i="5" s="1"/>
  <c r="V84" i="5" a="1"/>
  <c r="V84" i="5" s="1"/>
  <c r="T84" i="5" a="1"/>
  <c r="T84" i="5" s="1"/>
  <c r="V83" i="5" a="1"/>
  <c r="V83" i="5" s="1"/>
  <c r="T83" i="5" a="1"/>
  <c r="T83" i="5" s="1"/>
  <c r="V82" i="5" a="1"/>
  <c r="V82" i="5" s="1"/>
  <c r="T82" i="5" a="1"/>
  <c r="T82" i="5" s="1"/>
  <c r="V81" i="5" a="1"/>
  <c r="V81" i="5" s="1"/>
  <c r="T81" i="5" a="1"/>
  <c r="T81" i="5" s="1"/>
  <c r="V80" i="5" a="1"/>
  <c r="V80" i="5" s="1"/>
  <c r="T80" i="5" a="1"/>
  <c r="T80" i="5" s="1"/>
  <c r="V79" i="5" a="1"/>
  <c r="V79" i="5" s="1"/>
  <c r="T79" i="5" a="1"/>
  <c r="T79" i="5" s="1"/>
  <c r="V78" i="5" a="1"/>
  <c r="V78" i="5" s="1"/>
  <c r="T78" i="5" a="1"/>
  <c r="T78" i="5" s="1"/>
  <c r="V77" i="5" a="1"/>
  <c r="V77" i="5" s="1"/>
  <c r="T77" i="5" a="1"/>
  <c r="T77" i="5" s="1"/>
  <c r="V76" i="5" a="1"/>
  <c r="V76" i="5" s="1"/>
  <c r="T76" i="5" a="1"/>
  <c r="T76" i="5" s="1"/>
  <c r="Z75" i="5"/>
  <c r="V75" i="5" a="1"/>
  <c r="V75" i="5" s="1"/>
  <c r="T75" i="5" a="1"/>
  <c r="T75" i="5" s="1"/>
  <c r="Z74" i="5"/>
  <c r="V74" i="5" a="1"/>
  <c r="V74" i="5" s="1"/>
  <c r="T74" i="5" a="1"/>
  <c r="T74" i="5" s="1"/>
  <c r="Z73" i="5"/>
  <c r="V73" i="5" a="1"/>
  <c r="V73" i="5" s="1"/>
  <c r="T73" i="5" a="1"/>
  <c r="T73" i="5" s="1"/>
  <c r="Z72" i="5"/>
  <c r="V72" i="5" a="1"/>
  <c r="V72" i="5" s="1"/>
  <c r="T72" i="5" a="1"/>
  <c r="T72" i="5" s="1"/>
  <c r="Z71" i="5"/>
  <c r="V71" i="5" a="1"/>
  <c r="V71" i="5" s="1"/>
  <c r="T71" i="5" a="1"/>
  <c r="T71" i="5" s="1"/>
  <c r="Z70" i="5"/>
  <c r="V70" i="5" a="1"/>
  <c r="V70" i="5" s="1"/>
  <c r="T70" i="5" a="1"/>
  <c r="T70" i="5" s="1"/>
  <c r="Z69" i="5"/>
  <c r="V69" i="5" a="1"/>
  <c r="V69" i="5" s="1"/>
  <c r="T69" i="5" a="1"/>
  <c r="T69" i="5" s="1"/>
  <c r="Z68" i="5"/>
  <c r="V68" i="5" a="1"/>
  <c r="V68" i="5" s="1"/>
  <c r="T68" i="5" a="1"/>
  <c r="T68" i="5" s="1"/>
  <c r="Z67" i="5"/>
  <c r="V67" i="5" a="1"/>
  <c r="V67" i="5" s="1"/>
  <c r="T67" i="5" a="1"/>
  <c r="T67" i="5" s="1"/>
  <c r="Z66" i="5"/>
  <c r="V66" i="5" a="1"/>
  <c r="V66" i="5" s="1"/>
  <c r="T66" i="5" a="1"/>
  <c r="T66" i="5" s="1"/>
  <c r="Z65" i="5"/>
  <c r="V65" i="5" a="1"/>
  <c r="V65" i="5" s="1"/>
  <c r="T65" i="5" a="1"/>
  <c r="T65" i="5" s="1"/>
  <c r="Z64" i="5"/>
  <c r="V64" i="5" a="1"/>
  <c r="V64" i="5" s="1"/>
  <c r="T64" i="5" a="1"/>
  <c r="T64" i="5" s="1"/>
  <c r="Z63" i="5"/>
  <c r="V63" i="5" a="1"/>
  <c r="V63" i="5" s="1"/>
  <c r="T63" i="5" a="1"/>
  <c r="T63" i="5" s="1"/>
  <c r="Z62" i="5"/>
  <c r="V62" i="5" a="1"/>
  <c r="V62" i="5" s="1"/>
  <c r="T62" i="5" a="1"/>
  <c r="T62" i="5" s="1"/>
  <c r="Z61" i="5"/>
  <c r="V61" i="5" a="1"/>
  <c r="V61" i="5" s="1"/>
  <c r="T61" i="5" a="1"/>
  <c r="T61" i="5" s="1"/>
  <c r="Z60" i="5"/>
  <c r="V60" i="5" a="1"/>
  <c r="V60" i="5" s="1"/>
  <c r="T60" i="5" a="1"/>
  <c r="T60" i="5" s="1"/>
  <c r="Z59" i="5"/>
  <c r="V59" i="5" a="1"/>
  <c r="V59" i="5" s="1"/>
  <c r="T59" i="5" a="1"/>
  <c r="T59" i="5" s="1"/>
  <c r="Z58" i="5"/>
  <c r="V58" i="5" a="1"/>
  <c r="V58" i="5" s="1"/>
  <c r="T58" i="5" a="1"/>
  <c r="T58" i="5" s="1"/>
  <c r="Z57" i="5"/>
  <c r="V57" i="5" a="1"/>
  <c r="V57" i="5" s="1"/>
  <c r="T57" i="5" a="1"/>
  <c r="T57" i="5" s="1"/>
  <c r="Z56" i="5"/>
  <c r="V56" i="5" a="1"/>
  <c r="V56" i="5" s="1"/>
  <c r="T56" i="5" a="1"/>
  <c r="T56" i="5" s="1"/>
  <c r="Z55" i="5"/>
  <c r="V55" i="5" a="1"/>
  <c r="V55" i="5" s="1"/>
  <c r="T55" i="5" a="1"/>
  <c r="T55" i="5" s="1"/>
  <c r="Z54" i="5"/>
  <c r="V54" i="5" a="1"/>
  <c r="V54" i="5" s="1"/>
  <c r="T54" i="5" a="1"/>
  <c r="T54" i="5" s="1"/>
  <c r="Z53" i="5"/>
  <c r="V53" i="5" a="1"/>
  <c r="V53" i="5" s="1"/>
  <c r="T53" i="5" a="1"/>
  <c r="T53" i="5" s="1"/>
  <c r="Z52" i="5"/>
  <c r="V52" i="5" a="1"/>
  <c r="V52" i="5" s="1"/>
  <c r="T52" i="5" a="1"/>
  <c r="T52" i="5" s="1"/>
  <c r="Z51" i="5"/>
  <c r="V51" i="5" a="1"/>
  <c r="V51" i="5" s="1"/>
  <c r="T51" i="5" a="1"/>
  <c r="T51" i="5" s="1"/>
  <c r="Z50" i="5"/>
  <c r="V50" i="5" a="1"/>
  <c r="V50" i="5" s="1"/>
  <c r="T50" i="5" a="1"/>
  <c r="T50" i="5" s="1"/>
  <c r="Z49" i="5"/>
  <c r="V49" i="5" a="1"/>
  <c r="V49" i="5" s="1"/>
  <c r="T49" i="5" a="1"/>
  <c r="T49" i="5" s="1"/>
  <c r="Z48" i="5"/>
  <c r="V48" i="5" a="1"/>
  <c r="V48" i="5" s="1"/>
  <c r="T48" i="5" a="1"/>
  <c r="T48" i="5" s="1"/>
  <c r="Z47" i="5"/>
  <c r="V47" i="5" a="1"/>
  <c r="V47" i="5" s="1"/>
  <c r="T47" i="5" a="1"/>
  <c r="T47" i="5" s="1"/>
  <c r="Z46" i="5"/>
  <c r="V46" i="5" a="1"/>
  <c r="V46" i="5" s="1"/>
  <c r="T46" i="5" a="1"/>
  <c r="T46" i="5" s="1"/>
  <c r="Z45" i="5"/>
  <c r="V45" i="5" a="1"/>
  <c r="V45" i="5" s="1"/>
  <c r="T45" i="5" a="1"/>
  <c r="T45" i="5" s="1"/>
  <c r="Z44" i="5"/>
  <c r="V44" i="5" a="1"/>
  <c r="V44" i="5" s="1"/>
  <c r="T44" i="5" a="1"/>
  <c r="T44" i="5" s="1"/>
  <c r="Z43" i="5"/>
  <c r="V43" i="5" a="1"/>
  <c r="V43" i="5" s="1"/>
  <c r="T43" i="5" a="1"/>
  <c r="T43" i="5" s="1"/>
  <c r="Z42" i="5"/>
  <c r="V42" i="5" a="1"/>
  <c r="V42" i="5" s="1"/>
  <c r="T42" i="5" a="1"/>
  <c r="T42" i="5" s="1"/>
  <c r="Z41" i="5"/>
  <c r="V41" i="5" a="1"/>
  <c r="V41" i="5" s="1"/>
  <c r="T41" i="5" a="1"/>
  <c r="T41" i="5" s="1"/>
  <c r="Z40" i="5"/>
  <c r="V40" i="5" a="1"/>
  <c r="V40" i="5" s="1"/>
  <c r="T40" i="5" a="1"/>
  <c r="T40" i="5" s="1"/>
  <c r="Z39" i="5"/>
  <c r="V39" i="5" a="1"/>
  <c r="V39" i="5" s="1"/>
  <c r="T39" i="5" a="1"/>
  <c r="T39" i="5" s="1"/>
  <c r="Z38" i="5"/>
  <c r="V38" i="5" a="1"/>
  <c r="V38" i="5" s="1"/>
  <c r="T38" i="5" a="1"/>
  <c r="T38" i="5" s="1"/>
  <c r="Z37" i="5"/>
  <c r="V37" i="5" a="1"/>
  <c r="V37" i="5" s="1"/>
  <c r="T37" i="5" a="1"/>
  <c r="T37" i="5" s="1"/>
  <c r="Z36" i="5"/>
  <c r="V36" i="5" a="1"/>
  <c r="V36" i="5" s="1"/>
  <c r="T36" i="5" a="1"/>
  <c r="T36" i="5" s="1"/>
  <c r="Z35" i="5"/>
  <c r="V35" i="5" a="1"/>
  <c r="V35" i="5" s="1"/>
  <c r="T35" i="5" a="1"/>
  <c r="T35" i="5" s="1"/>
  <c r="Z34" i="5"/>
  <c r="V34" i="5" a="1"/>
  <c r="V34" i="5" s="1"/>
  <c r="T34" i="5" a="1"/>
  <c r="T34" i="5" s="1"/>
  <c r="Z33" i="5"/>
  <c r="V33" i="5" a="1"/>
  <c r="V33" i="5" s="1"/>
  <c r="T33" i="5" a="1"/>
  <c r="T33" i="5" s="1"/>
  <c r="Z32" i="5"/>
  <c r="V32" i="5" a="1"/>
  <c r="V32" i="5" s="1"/>
  <c r="T32" i="5" a="1"/>
  <c r="T32" i="5" s="1"/>
  <c r="Z31" i="5"/>
  <c r="V31" i="5" a="1"/>
  <c r="V31" i="5" s="1"/>
  <c r="T31" i="5" a="1"/>
  <c r="T31" i="5" s="1"/>
  <c r="Z30" i="5"/>
  <c r="V30" i="5" a="1"/>
  <c r="V30" i="5" s="1"/>
  <c r="T30" i="5" a="1"/>
  <c r="T30" i="5" s="1"/>
  <c r="Z29" i="5"/>
  <c r="V29" i="5" a="1"/>
  <c r="V29" i="5" s="1"/>
  <c r="T29" i="5" a="1"/>
  <c r="T29" i="5" s="1"/>
  <c r="Z28" i="5"/>
  <c r="V28" i="5" a="1"/>
  <c r="V28" i="5" s="1"/>
  <c r="T28" i="5" a="1"/>
  <c r="T28" i="5" s="1"/>
  <c r="Z27" i="5"/>
  <c r="V27" i="5" a="1"/>
  <c r="V27" i="5" s="1"/>
  <c r="T27" i="5" a="1"/>
  <c r="T27" i="5" s="1"/>
  <c r="Z26" i="5"/>
  <c r="V26" i="5" a="1"/>
  <c r="V26" i="5" s="1"/>
  <c r="T26" i="5" a="1"/>
  <c r="T26" i="5" s="1"/>
  <c r="Z25" i="5"/>
  <c r="V25" i="5" a="1"/>
  <c r="V25" i="5" s="1"/>
  <c r="T25" i="5" a="1"/>
  <c r="T25" i="5" s="1"/>
  <c r="Z24" i="5"/>
  <c r="V24" i="5" a="1"/>
  <c r="V24" i="5" s="1"/>
  <c r="T24" i="5" a="1"/>
  <c r="T24" i="5" s="1"/>
  <c r="Z23" i="5"/>
  <c r="V23" i="5" a="1"/>
  <c r="V23" i="5" s="1"/>
  <c r="T23" i="5" a="1"/>
  <c r="T23" i="5" s="1"/>
  <c r="Z22" i="5"/>
  <c r="V22" i="5" a="1"/>
  <c r="V22" i="5" s="1"/>
  <c r="T22" i="5" a="1"/>
  <c r="T22" i="5" s="1"/>
  <c r="Z21" i="5"/>
  <c r="V21" i="5" a="1"/>
  <c r="V21" i="5" s="1"/>
  <c r="T21" i="5" a="1"/>
  <c r="T21" i="5" s="1"/>
  <c r="Z20" i="5"/>
  <c r="V20" i="5" a="1"/>
  <c r="V20" i="5" s="1"/>
  <c r="T20" i="5" a="1"/>
  <c r="T20" i="5" s="1"/>
  <c r="Z19" i="5"/>
  <c r="V19" i="5" a="1"/>
  <c r="V19" i="5" s="1"/>
  <c r="T19" i="5" a="1"/>
  <c r="T19" i="5" s="1"/>
  <c r="Z18" i="5"/>
  <c r="V18" i="5" a="1"/>
  <c r="V18" i="5" s="1"/>
  <c r="T18" i="5" a="1"/>
  <c r="T18" i="5" s="1"/>
  <c r="Z17" i="5"/>
  <c r="V17" i="5" a="1"/>
  <c r="V17" i="5" s="1"/>
  <c r="T17" i="5" a="1"/>
  <c r="T17" i="5" s="1"/>
  <c r="Z16" i="5"/>
  <c r="V16" i="5" a="1"/>
  <c r="V16" i="5" s="1"/>
  <c r="T16" i="5" a="1"/>
  <c r="T16" i="5" s="1"/>
  <c r="Z15" i="5"/>
  <c r="V15" i="5" a="1"/>
  <c r="V15" i="5" s="1"/>
  <c r="T15" i="5" a="1"/>
  <c r="T15" i="5" s="1"/>
  <c r="Z14" i="5"/>
  <c r="V14" i="5" a="1"/>
  <c r="V14" i="5" s="1"/>
  <c r="T14" i="5" a="1"/>
  <c r="T14" i="5" s="1"/>
  <c r="Z13" i="5"/>
  <c r="V13" i="5" a="1"/>
  <c r="V13" i="5" s="1"/>
  <c r="T13" i="5" a="1"/>
  <c r="T13" i="5" s="1"/>
  <c r="Z12" i="5"/>
  <c r="V12" i="5" a="1"/>
  <c r="V12" i="5" s="1"/>
  <c r="T12" i="5" a="1"/>
  <c r="T12" i="5" s="1"/>
  <c r="Z11" i="5"/>
  <c r="V11" i="5" a="1"/>
  <c r="V11" i="5" s="1"/>
  <c r="T11" i="5" a="1"/>
  <c r="T11" i="5" s="1"/>
  <c r="AB10" i="5"/>
  <c r="Z10" i="5"/>
  <c r="V10" i="5" a="1"/>
  <c r="V10" i="5" s="1"/>
  <c r="T10" i="5" a="1"/>
  <c r="T10" i="5" s="1"/>
  <c r="AB9" i="5"/>
  <c r="Z9" i="5"/>
  <c r="V9" i="5" a="1"/>
  <c r="V9" i="5" s="1"/>
  <c r="T9" i="5" a="1"/>
  <c r="T9" i="5" s="1"/>
  <c r="AB8" i="5"/>
  <c r="Z8" i="5"/>
  <c r="V8" i="5" a="1"/>
  <c r="V8" i="5" s="1"/>
  <c r="T8" i="5" a="1"/>
  <c r="T8" i="5" s="1"/>
  <c r="AB7" i="5"/>
  <c r="Z7" i="5"/>
  <c r="V7" i="5" a="1"/>
  <c r="V7" i="5" s="1"/>
  <c r="T7" i="5" a="1"/>
  <c r="T7" i="5" s="1"/>
  <c r="AB6" i="5"/>
  <c r="Z6" i="5"/>
  <c r="V6" i="5" a="1"/>
  <c r="V6" i="5" s="1"/>
  <c r="T6" i="5" a="1"/>
  <c r="T6" i="5" s="1"/>
  <c r="AB5" i="5"/>
  <c r="Z5" i="5"/>
  <c r="V5" i="5" a="1"/>
  <c r="V5" i="5" s="1"/>
  <c r="T5" i="5" a="1"/>
  <c r="T5" i="5" s="1"/>
  <c r="AB4" i="5"/>
  <c r="Z4" i="5"/>
  <c r="V4" i="5" a="1"/>
  <c r="V4" i="5" s="1"/>
  <c r="T4" i="5" a="1"/>
  <c r="T4" i="5" s="1"/>
  <c r="AB3" i="5"/>
  <c r="Z3" i="5"/>
  <c r="V3" i="5" a="1"/>
  <c r="V3" i="5" s="1"/>
  <c r="T3" i="5" a="1"/>
  <c r="T3" i="5" s="1"/>
  <c r="W3" i="5" l="1" a="1"/>
  <c r="W3" i="5" s="1"/>
  <c r="Z78" i="5"/>
  <c r="U3" i="5" a="1"/>
  <c r="U3" i="5" s="1"/>
  <c r="Z77" i="5"/>
  <c r="AB78" i="5"/>
  <c r="AB77" i="5"/>
  <c r="K6" i="3" l="1"/>
  <c r="J6" i="3"/>
  <c r="D6" i="3"/>
  <c r="K5" i="3"/>
  <c r="J5" i="3"/>
  <c r="K22" i="3"/>
  <c r="J22" i="3"/>
  <c r="K21" i="3"/>
  <c r="J21" i="3"/>
  <c r="AH4" i="2"/>
  <c r="AH5" i="2"/>
  <c r="AH6" i="2"/>
  <c r="AH7" i="2"/>
  <c r="AH8" i="2"/>
  <c r="AH9" i="2"/>
  <c r="AH10" i="2"/>
  <c r="AH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3" i="2"/>
  <c r="AB4" i="2" a="1"/>
  <c r="AB4" i="2" s="1"/>
  <c r="AB5" i="2" a="1"/>
  <c r="AB5" i="2" s="1"/>
  <c r="AB6" i="2" a="1"/>
  <c r="AB6" i="2" s="1"/>
  <c r="AB7" i="2" a="1"/>
  <c r="AB7" i="2" s="1"/>
  <c r="AB8" i="2" a="1"/>
  <c r="AB8" i="2" s="1"/>
  <c r="AB9" i="2" a="1"/>
  <c r="AB9" i="2" s="1"/>
  <c r="AB10" i="2" a="1"/>
  <c r="AB10" i="2" s="1"/>
  <c r="AB11" i="2" a="1"/>
  <c r="AB11" i="2" s="1"/>
  <c r="AB12" i="2" a="1"/>
  <c r="AB12" i="2" s="1"/>
  <c r="AB13" i="2" a="1"/>
  <c r="AB13" i="2" s="1"/>
  <c r="AB14" i="2" a="1"/>
  <c r="AB14" i="2" s="1"/>
  <c r="AB15" i="2" a="1"/>
  <c r="AB15" i="2" s="1"/>
  <c r="AB16" i="2" a="1"/>
  <c r="AB16" i="2" s="1"/>
  <c r="AB17" i="2" a="1"/>
  <c r="AB17" i="2" s="1"/>
  <c r="AB18" i="2" a="1"/>
  <c r="AB18" i="2" s="1"/>
  <c r="AB19" i="2" a="1"/>
  <c r="AB19" i="2" s="1"/>
  <c r="AB20" i="2" a="1"/>
  <c r="AB20" i="2" s="1"/>
  <c r="AB21" i="2" a="1"/>
  <c r="AB21" i="2" s="1"/>
  <c r="AB22" i="2" a="1"/>
  <c r="AB22" i="2" s="1"/>
  <c r="AB23" i="2" a="1"/>
  <c r="AB23" i="2" s="1"/>
  <c r="AB24" i="2" a="1"/>
  <c r="AB24" i="2" s="1"/>
  <c r="AB25" i="2" a="1"/>
  <c r="AB25" i="2" s="1"/>
  <c r="AB26" i="2" a="1"/>
  <c r="AB26" i="2" s="1"/>
  <c r="AB27" i="2" a="1"/>
  <c r="AB27" i="2" s="1"/>
  <c r="AB28" i="2" a="1"/>
  <c r="AB28" i="2" s="1"/>
  <c r="AB29" i="2" a="1"/>
  <c r="AB29" i="2" s="1"/>
  <c r="AB30" i="2" a="1"/>
  <c r="AB30" i="2" s="1"/>
  <c r="AB31" i="2" a="1"/>
  <c r="AB31" i="2" s="1"/>
  <c r="AB32" i="2" a="1"/>
  <c r="AB32" i="2" s="1"/>
  <c r="AB33" i="2" a="1"/>
  <c r="AB33" i="2" s="1"/>
  <c r="AB34" i="2" a="1"/>
  <c r="AB34" i="2" s="1"/>
  <c r="AB35" i="2" a="1"/>
  <c r="AB35" i="2" s="1"/>
  <c r="AB36" i="2" a="1"/>
  <c r="AB36" i="2" s="1"/>
  <c r="AB37" i="2" a="1"/>
  <c r="AB37" i="2" s="1"/>
  <c r="AB38" i="2" a="1"/>
  <c r="AB38" i="2" s="1"/>
  <c r="AB39" i="2" a="1"/>
  <c r="AB39" i="2" s="1"/>
  <c r="AB40" i="2" a="1"/>
  <c r="AB40" i="2" s="1"/>
  <c r="AB41" i="2" a="1"/>
  <c r="AB41" i="2" s="1"/>
  <c r="AB42" i="2" a="1"/>
  <c r="AB42" i="2" s="1"/>
  <c r="AB43" i="2" a="1"/>
  <c r="AB43" i="2" s="1"/>
  <c r="AB44" i="2" a="1"/>
  <c r="AB44" i="2" s="1"/>
  <c r="AB45" i="2" a="1"/>
  <c r="AB45" i="2" s="1"/>
  <c r="AB46" i="2" a="1"/>
  <c r="AB46" i="2" s="1"/>
  <c r="AB47" i="2" a="1"/>
  <c r="AB47" i="2" s="1"/>
  <c r="AB48" i="2" a="1"/>
  <c r="AB48" i="2" s="1"/>
  <c r="AB49" i="2" a="1"/>
  <c r="AB49" i="2" s="1"/>
  <c r="AB50" i="2" a="1"/>
  <c r="AB50" i="2" s="1"/>
  <c r="AB51" i="2" a="1"/>
  <c r="AB51" i="2" s="1"/>
  <c r="AB52" i="2" a="1"/>
  <c r="AB52" i="2" s="1"/>
  <c r="AB53" i="2" a="1"/>
  <c r="AB53" i="2" s="1"/>
  <c r="AB54" i="2" a="1"/>
  <c r="AB54" i="2" s="1"/>
  <c r="AB55" i="2" a="1"/>
  <c r="AB55" i="2" s="1"/>
  <c r="AB56" i="2" a="1"/>
  <c r="AB56" i="2" s="1"/>
  <c r="AB57" i="2" a="1"/>
  <c r="AB57" i="2" s="1"/>
  <c r="AB58" i="2" a="1"/>
  <c r="AB58" i="2" s="1"/>
  <c r="AB59" i="2" a="1"/>
  <c r="AB59" i="2" s="1"/>
  <c r="AB60" i="2" a="1"/>
  <c r="AB60" i="2" s="1"/>
  <c r="AB61" i="2" a="1"/>
  <c r="AB61" i="2" s="1"/>
  <c r="AB62" i="2" a="1"/>
  <c r="AB62" i="2" s="1"/>
  <c r="AB63" i="2" a="1"/>
  <c r="AB63" i="2" s="1"/>
  <c r="AB64" i="2" a="1"/>
  <c r="AB64" i="2" s="1"/>
  <c r="AB65" i="2" a="1"/>
  <c r="AB65" i="2" s="1"/>
  <c r="AB66" i="2" a="1"/>
  <c r="AB66" i="2" s="1"/>
  <c r="AB67" i="2" a="1"/>
  <c r="AB67" i="2" s="1"/>
  <c r="AB68" i="2" a="1"/>
  <c r="AB68" i="2" s="1"/>
  <c r="AB69" i="2" a="1"/>
  <c r="AB69" i="2" s="1"/>
  <c r="AB70" i="2" a="1"/>
  <c r="AB70" i="2" s="1"/>
  <c r="AB71" i="2" a="1"/>
  <c r="AB71" i="2" s="1"/>
  <c r="AB72" i="2" a="1"/>
  <c r="AB72" i="2" s="1"/>
  <c r="AB73" i="2" a="1"/>
  <c r="AB73" i="2" s="1"/>
  <c r="AB74" i="2" a="1"/>
  <c r="AB74" i="2" s="1"/>
  <c r="AB75" i="2" a="1"/>
  <c r="AB75" i="2" s="1"/>
  <c r="AB76" i="2" a="1"/>
  <c r="AB76" i="2" s="1"/>
  <c r="AB77" i="2" a="1"/>
  <c r="AB77" i="2" s="1"/>
  <c r="AB78" i="2" a="1"/>
  <c r="AB78" i="2" s="1"/>
  <c r="AB79" i="2" a="1"/>
  <c r="AB79" i="2" s="1"/>
  <c r="AB80" i="2" a="1"/>
  <c r="AB80" i="2" s="1"/>
  <c r="AB81" i="2" a="1"/>
  <c r="AB81" i="2" s="1"/>
  <c r="AB82" i="2" a="1"/>
  <c r="AB82" i="2" s="1"/>
  <c r="AB83" i="2" a="1"/>
  <c r="AB83" i="2" s="1"/>
  <c r="AB84" i="2" a="1"/>
  <c r="AB84" i="2" s="1"/>
  <c r="AB85" i="2" a="1"/>
  <c r="AB85" i="2" s="1"/>
  <c r="AB86" i="2" a="1"/>
  <c r="AB86" i="2" s="1"/>
  <c r="AB87" i="2" a="1"/>
  <c r="AB87" i="2" s="1"/>
  <c r="AB88" i="2" a="1"/>
  <c r="AB88" i="2" s="1"/>
  <c r="AB89" i="2" a="1"/>
  <c r="AB89" i="2" s="1"/>
  <c r="AB90" i="2" a="1"/>
  <c r="AB90" i="2" s="1"/>
  <c r="AB91" i="2" a="1"/>
  <c r="AB91" i="2" s="1"/>
  <c r="AB92" i="2" a="1"/>
  <c r="AB92" i="2" s="1"/>
  <c r="AB93" i="2" a="1"/>
  <c r="AB93" i="2" s="1"/>
  <c r="AB94" i="2" a="1"/>
  <c r="AB94" i="2" s="1"/>
  <c r="AB3" i="2" a="1"/>
  <c r="AB3" i="2" s="1"/>
  <c r="Z4" i="2" a="1"/>
  <c r="Z4" i="2" s="1"/>
  <c r="Z5" i="2" a="1"/>
  <c r="Z5" i="2" s="1"/>
  <c r="Z6" i="2" a="1"/>
  <c r="Z6" i="2" s="1"/>
  <c r="Z7" i="2" a="1"/>
  <c r="Z7" i="2" s="1"/>
  <c r="Z8" i="2" a="1"/>
  <c r="Z8" i="2" s="1"/>
  <c r="Z9" i="2" a="1"/>
  <c r="Z9" i="2" s="1"/>
  <c r="Z10" i="2" a="1"/>
  <c r="Z10" i="2" s="1"/>
  <c r="Z11" i="2" a="1"/>
  <c r="Z11" i="2" s="1"/>
  <c r="Z12" i="2" a="1"/>
  <c r="Z12" i="2" s="1"/>
  <c r="Z13" i="2" a="1"/>
  <c r="Z13" i="2" s="1"/>
  <c r="Z14" i="2" a="1"/>
  <c r="Z14" i="2" s="1"/>
  <c r="Z15" i="2" a="1"/>
  <c r="Z15" i="2" s="1"/>
  <c r="Z16" i="2" a="1"/>
  <c r="Z16" i="2" s="1"/>
  <c r="Z17" i="2" a="1"/>
  <c r="Z17" i="2" s="1"/>
  <c r="Z18" i="2" a="1"/>
  <c r="Z18" i="2" s="1"/>
  <c r="Z19" i="2" a="1"/>
  <c r="Z19" i="2" s="1"/>
  <c r="Z20" i="2" a="1"/>
  <c r="Z20" i="2" s="1"/>
  <c r="Z21" i="2" a="1"/>
  <c r="Z21" i="2" s="1"/>
  <c r="Z22" i="2" a="1"/>
  <c r="Z22" i="2" s="1"/>
  <c r="Z23" i="2" a="1"/>
  <c r="Z23" i="2" s="1"/>
  <c r="Z24" i="2" a="1"/>
  <c r="Z24" i="2" s="1"/>
  <c r="Z25" i="2" a="1"/>
  <c r="Z25" i="2" s="1"/>
  <c r="Z26" i="2" a="1"/>
  <c r="Z26" i="2" s="1"/>
  <c r="Z27" i="2" a="1"/>
  <c r="Z27" i="2" s="1"/>
  <c r="Z28" i="2" a="1"/>
  <c r="Z28" i="2" s="1"/>
  <c r="Z29" i="2" a="1"/>
  <c r="Z29" i="2" s="1"/>
  <c r="Z30" i="2" a="1"/>
  <c r="Z30" i="2" s="1"/>
  <c r="Z31" i="2" a="1"/>
  <c r="Z31" i="2" s="1"/>
  <c r="Z32" i="2" a="1"/>
  <c r="Z32" i="2" s="1"/>
  <c r="Z33" i="2" a="1"/>
  <c r="Z33" i="2" s="1"/>
  <c r="Z34" i="2" a="1"/>
  <c r="Z34" i="2" s="1"/>
  <c r="Z35" i="2" a="1"/>
  <c r="Z35" i="2" s="1"/>
  <c r="Z36" i="2" a="1"/>
  <c r="Z36" i="2" s="1"/>
  <c r="Z37" i="2" a="1"/>
  <c r="Z37" i="2" s="1"/>
  <c r="Z38" i="2" a="1"/>
  <c r="Z38" i="2" s="1"/>
  <c r="Z39" i="2" a="1"/>
  <c r="Z39" i="2" s="1"/>
  <c r="Z40" i="2" a="1"/>
  <c r="Z40" i="2" s="1"/>
  <c r="Z41" i="2" a="1"/>
  <c r="Z41" i="2" s="1"/>
  <c r="Z42" i="2" a="1"/>
  <c r="Z42" i="2" s="1"/>
  <c r="Z43" i="2" a="1"/>
  <c r="Z43" i="2" s="1"/>
  <c r="Z44" i="2" a="1"/>
  <c r="Z44" i="2" s="1"/>
  <c r="Z45" i="2" a="1"/>
  <c r="Z45" i="2" s="1"/>
  <c r="Z46" i="2" a="1"/>
  <c r="Z46" i="2" s="1"/>
  <c r="Z47" i="2" a="1"/>
  <c r="Z47" i="2" s="1"/>
  <c r="Z48" i="2" a="1"/>
  <c r="Z48" i="2" s="1"/>
  <c r="Z49" i="2" a="1"/>
  <c r="Z49" i="2" s="1"/>
  <c r="Z50" i="2" a="1"/>
  <c r="Z50" i="2" s="1"/>
  <c r="Z51" i="2" a="1"/>
  <c r="Z51" i="2" s="1"/>
  <c r="Z52" i="2" a="1"/>
  <c r="Z52" i="2" s="1"/>
  <c r="Z53" i="2" a="1"/>
  <c r="Z53" i="2" s="1"/>
  <c r="Z54" i="2" a="1"/>
  <c r="Z54" i="2" s="1"/>
  <c r="Z55" i="2" a="1"/>
  <c r="Z55" i="2" s="1"/>
  <c r="Z56" i="2" a="1"/>
  <c r="Z56" i="2" s="1"/>
  <c r="Z57" i="2" a="1"/>
  <c r="Z57" i="2" s="1"/>
  <c r="Z58" i="2" a="1"/>
  <c r="Z58" i="2" s="1"/>
  <c r="Z59" i="2" a="1"/>
  <c r="Z59" i="2" s="1"/>
  <c r="Z60" i="2" a="1"/>
  <c r="Z60" i="2" s="1"/>
  <c r="Z61" i="2" a="1"/>
  <c r="Z61" i="2" s="1"/>
  <c r="Z62" i="2" a="1"/>
  <c r="Z62" i="2" s="1"/>
  <c r="Z63" i="2" a="1"/>
  <c r="Z63" i="2" s="1"/>
  <c r="Z64" i="2" a="1"/>
  <c r="Z64" i="2" s="1"/>
  <c r="Z65" i="2" a="1"/>
  <c r="Z65" i="2" s="1"/>
  <c r="Z66" i="2" a="1"/>
  <c r="Z66" i="2" s="1"/>
  <c r="Z67" i="2" a="1"/>
  <c r="Z67" i="2" s="1"/>
  <c r="Z68" i="2" a="1"/>
  <c r="Z68" i="2" s="1"/>
  <c r="Z69" i="2" a="1"/>
  <c r="Z69" i="2" s="1"/>
  <c r="Z70" i="2" a="1"/>
  <c r="Z70" i="2" s="1"/>
  <c r="Z71" i="2" a="1"/>
  <c r="Z71" i="2" s="1"/>
  <c r="Z72" i="2" a="1"/>
  <c r="Z72" i="2" s="1"/>
  <c r="Z73" i="2" a="1"/>
  <c r="Z73" i="2" s="1"/>
  <c r="Z74" i="2" a="1"/>
  <c r="Z74" i="2" s="1"/>
  <c r="Z75" i="2" a="1"/>
  <c r="Z75" i="2" s="1"/>
  <c r="Z76" i="2" a="1"/>
  <c r="Z76" i="2" s="1"/>
  <c r="Z77" i="2" a="1"/>
  <c r="Z77" i="2" s="1"/>
  <c r="Z78" i="2" a="1"/>
  <c r="Z78" i="2" s="1"/>
  <c r="Z79" i="2" a="1"/>
  <c r="Z79" i="2" s="1"/>
  <c r="Z80" i="2" a="1"/>
  <c r="Z80" i="2" s="1"/>
  <c r="Z81" i="2" a="1"/>
  <c r="Z81" i="2" s="1"/>
  <c r="Z82" i="2" a="1"/>
  <c r="Z82" i="2" s="1"/>
  <c r="Z83" i="2" a="1"/>
  <c r="Z83" i="2" s="1"/>
  <c r="Z84" i="2" a="1"/>
  <c r="Z84" i="2" s="1"/>
  <c r="Z85" i="2" a="1"/>
  <c r="Z85" i="2" s="1"/>
  <c r="Z86" i="2" a="1"/>
  <c r="Z86" i="2" s="1"/>
  <c r="Z87" i="2" a="1"/>
  <c r="Z87" i="2" s="1"/>
  <c r="Z88" i="2" a="1"/>
  <c r="Z88" i="2" s="1"/>
  <c r="Z89" i="2" a="1"/>
  <c r="Z89" i="2" s="1"/>
  <c r="Z90" i="2" a="1"/>
  <c r="Z90" i="2" s="1"/>
  <c r="Z91" i="2" a="1"/>
  <c r="Z91" i="2" s="1"/>
  <c r="Z92" i="2" a="1"/>
  <c r="Z92" i="2" s="1"/>
  <c r="Z93" i="2" a="1"/>
  <c r="Z93" i="2" s="1"/>
  <c r="Z94" i="2" a="1"/>
  <c r="Z94" i="2" s="1"/>
  <c r="Z3" i="2" a="1"/>
  <c r="Z3" i="2" s="1"/>
  <c r="AH78" i="2" l="1"/>
  <c r="AF78" i="2"/>
  <c r="AC3" i="2" a="1"/>
  <c r="AC3" i="2" s="1"/>
  <c r="AA3" i="2" a="1"/>
  <c r="AA3" i="2" s="1"/>
  <c r="AF77" i="2"/>
  <c r="AH77" i="2"/>
  <c r="F75" i="4"/>
  <c r="E75" i="4"/>
  <c r="F74" i="4"/>
  <c r="E74" i="4"/>
  <c r="F73" i="4"/>
  <c r="E73" i="4"/>
  <c r="F71" i="4"/>
  <c r="E71" i="4"/>
  <c r="F70" i="4"/>
  <c r="E70" i="4"/>
  <c r="F68" i="4"/>
  <c r="E68" i="4"/>
  <c r="F67" i="4"/>
  <c r="E67" i="4"/>
  <c r="F66" i="4"/>
  <c r="E66" i="4"/>
  <c r="F65" i="4"/>
  <c r="E65" i="4"/>
  <c r="F63" i="4"/>
  <c r="E63" i="4"/>
  <c r="F62" i="4"/>
  <c r="E62" i="4"/>
  <c r="F61" i="4"/>
  <c r="E61" i="4"/>
  <c r="F60" i="4"/>
  <c r="E60" i="4"/>
  <c r="F58" i="4"/>
  <c r="E58" i="4"/>
  <c r="F57" i="4"/>
  <c r="E57" i="4"/>
  <c r="F55" i="4"/>
  <c r="F56" i="4" s="1"/>
  <c r="E55" i="4"/>
  <c r="E56" i="4" s="1"/>
  <c r="F53" i="4"/>
  <c r="E53" i="4"/>
  <c r="F52" i="4"/>
  <c r="E52" i="4"/>
  <c r="F51" i="4"/>
  <c r="E51" i="4"/>
  <c r="F50" i="4"/>
  <c r="E50" i="4"/>
  <c r="F48" i="4"/>
  <c r="F49" i="4" s="1"/>
  <c r="E48" i="4"/>
  <c r="E49" i="4" s="1"/>
  <c r="F46" i="4"/>
  <c r="F47" i="4" s="1"/>
  <c r="E46" i="4"/>
  <c r="E47" i="4" s="1"/>
  <c r="F44" i="4"/>
  <c r="F45" i="4" s="1"/>
  <c r="E44" i="4"/>
  <c r="E45" i="4" s="1"/>
  <c r="F76" i="4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36" i="2"/>
  <c r="E9" i="4"/>
  <c r="E10" i="4" s="1"/>
  <c r="F36" i="4"/>
  <c r="E36" i="4"/>
  <c r="E11" i="4"/>
  <c r="F11" i="4"/>
  <c r="F9" i="4"/>
  <c r="F10" i="4" s="1"/>
  <c r="F16" i="4"/>
  <c r="F17" i="4" s="1"/>
  <c r="E16" i="4"/>
  <c r="E17" i="4" s="1"/>
  <c r="F5" i="4"/>
  <c r="F6" i="4" s="1"/>
  <c r="F35" i="4"/>
  <c r="E35" i="4"/>
  <c r="F34" i="4"/>
  <c r="E34" i="4"/>
  <c r="F32" i="4"/>
  <c r="E32" i="4"/>
  <c r="F31" i="4"/>
  <c r="E31" i="4"/>
  <c r="E33" i="4" s="1"/>
  <c r="F29" i="4"/>
  <c r="E29" i="4"/>
  <c r="F28" i="4"/>
  <c r="E28" i="4"/>
  <c r="F27" i="4"/>
  <c r="E27" i="4"/>
  <c r="F26" i="4"/>
  <c r="E26" i="4"/>
  <c r="F24" i="4"/>
  <c r="E24" i="4"/>
  <c r="F23" i="4"/>
  <c r="E23" i="4"/>
  <c r="F22" i="4"/>
  <c r="E22" i="4"/>
  <c r="F21" i="4"/>
  <c r="E21" i="4"/>
  <c r="F19" i="4"/>
  <c r="E19" i="4"/>
  <c r="F18" i="4"/>
  <c r="E18" i="4"/>
  <c r="E20" i="4" s="1"/>
  <c r="F14" i="4"/>
  <c r="E14" i="4"/>
  <c r="F13" i="4"/>
  <c r="E13" i="4"/>
  <c r="F12" i="4"/>
  <c r="E12" i="4"/>
  <c r="F7" i="4"/>
  <c r="F8" i="4" s="1"/>
  <c r="E7" i="4"/>
  <c r="E8" i="4" s="1"/>
  <c r="E5" i="4"/>
  <c r="E6" i="4" s="1"/>
  <c r="D82" i="3"/>
  <c r="D83" i="3"/>
  <c r="D84" i="3"/>
  <c r="D85" i="3"/>
  <c r="D86" i="3"/>
  <c r="D87" i="3"/>
  <c r="D88" i="3"/>
  <c r="D89" i="3"/>
  <c r="D81" i="3"/>
  <c r="D80" i="3"/>
  <c r="D68" i="3"/>
  <c r="D69" i="3"/>
  <c r="D70" i="3"/>
  <c r="D71" i="3"/>
  <c r="D72" i="3"/>
  <c r="D73" i="3"/>
  <c r="D74" i="3"/>
  <c r="D75" i="3"/>
  <c r="D67" i="3"/>
  <c r="D66" i="3"/>
  <c r="D54" i="3"/>
  <c r="D55" i="3"/>
  <c r="D56" i="3"/>
  <c r="D57" i="3"/>
  <c r="D58" i="3"/>
  <c r="D59" i="3"/>
  <c r="D60" i="3"/>
  <c r="D61" i="3"/>
  <c r="D53" i="3"/>
  <c r="D52" i="3"/>
  <c r="F47" i="3"/>
  <c r="F46" i="3"/>
  <c r="F44" i="3"/>
  <c r="F43" i="3"/>
  <c r="F38" i="3"/>
  <c r="F35" i="3"/>
  <c r="F37" i="3"/>
  <c r="F34" i="3"/>
  <c r="F28" i="3"/>
  <c r="F25" i="3"/>
  <c r="F22" i="3"/>
  <c r="F27" i="3"/>
  <c r="F24" i="3"/>
  <c r="F21" i="3"/>
  <c r="F15" i="3"/>
  <c r="F14" i="3"/>
  <c r="F12" i="3"/>
  <c r="F11" i="3"/>
  <c r="D5" i="3"/>
  <c r="F72" i="4" l="1"/>
  <c r="F48" i="3"/>
  <c r="G46" i="3" s="1"/>
  <c r="F59" i="4"/>
  <c r="E54" i="4"/>
  <c r="F54" i="4"/>
  <c r="F33" i="4"/>
  <c r="E59" i="4"/>
  <c r="E76" i="4"/>
  <c r="E72" i="4"/>
  <c r="E64" i="4"/>
  <c r="F64" i="4"/>
  <c r="E69" i="4"/>
  <c r="F69" i="4"/>
  <c r="F20" i="4"/>
  <c r="E25" i="4"/>
  <c r="F25" i="4"/>
  <c r="E37" i="4"/>
  <c r="F30" i="4"/>
  <c r="E15" i="4"/>
  <c r="E30" i="4"/>
  <c r="F15" i="4"/>
  <c r="F37" i="4"/>
  <c r="G22" i="3"/>
  <c r="F45" i="3"/>
  <c r="G44" i="3" s="1"/>
  <c r="G21" i="3"/>
  <c r="G27" i="3"/>
  <c r="G24" i="3"/>
  <c r="D90" i="3"/>
  <c r="D76" i="3"/>
  <c r="D62" i="3"/>
  <c r="F29" i="3"/>
  <c r="F39" i="3"/>
  <c r="F36" i="3"/>
  <c r="F26" i="3"/>
  <c r="F23" i="3"/>
  <c r="F16" i="3"/>
  <c r="G12" i="3"/>
  <c r="F13" i="3"/>
  <c r="G25" i="3"/>
  <c r="G15" i="3"/>
  <c r="G28" i="3"/>
  <c r="D7" i="3"/>
  <c r="G11" i="3"/>
  <c r="G14" i="3"/>
  <c r="F77" i="4" l="1"/>
  <c r="E38" i="4"/>
  <c r="E77" i="4"/>
  <c r="G47" i="3"/>
  <c r="F30" i="3"/>
  <c r="G43" i="3"/>
  <c r="F38" i="4"/>
  <c r="G35" i="3"/>
  <c r="G34" i="3"/>
  <c r="G38" i="3"/>
  <c r="G37" i="3"/>
  <c r="F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11" authorId="0" shapeId="0" xr:uid="{E87AC61A-23EB-4363-8B31-EFFA7FE0032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SENO PALEL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11" authorId="0" shapeId="0" xr:uid="{8A61321C-3C5E-4DEE-8ACB-B3ED58E5845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SENO PALEL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<sst xmlns="http://schemas.openxmlformats.org/spreadsheetml/2006/main" count="3218" uniqueCount="374">
  <si>
    <t>Dép</t>
    <phoneticPr fontId="1"/>
  </si>
  <si>
    <t>Nom de l'Entreprise</t>
    <phoneticPr fontId="1"/>
  </si>
  <si>
    <t>Chef de l'Entreprise</t>
    <phoneticPr fontId="1"/>
  </si>
  <si>
    <t>Matam</t>
    <phoneticPr fontId="1"/>
  </si>
  <si>
    <t>Abdoulaye Bocar NDIAYE</t>
  </si>
  <si>
    <t>Wouro Sidy</t>
  </si>
  <si>
    <t>Tracteur 
Etat</t>
    <phoneticPr fontId="1"/>
  </si>
  <si>
    <t>Année acquisition</t>
  </si>
  <si>
    <t>MB Puissance</t>
    <phoneticPr fontId="1"/>
  </si>
  <si>
    <t>TAFE</t>
  </si>
  <si>
    <t>Offset</t>
  </si>
  <si>
    <t>Abou DIAW</t>
  </si>
  <si>
    <t>Ounaré</t>
  </si>
  <si>
    <t>Aboubacry Goby BASSOUM</t>
  </si>
  <si>
    <t>Kanel</t>
  </si>
  <si>
    <t>77 564 25 33</t>
  </si>
  <si>
    <t>Association des Agriculteurs de Waoundé</t>
    <phoneticPr fontId="1"/>
  </si>
  <si>
    <t>Waoundé</t>
  </si>
  <si>
    <t>Samba Camara</t>
  </si>
  <si>
    <t>77 562 49 16</t>
  </si>
  <si>
    <t>Bocar DAFF</t>
  </si>
  <si>
    <t>Ndendory</t>
  </si>
  <si>
    <t>John Deere</t>
  </si>
  <si>
    <t>Matam</t>
  </si>
  <si>
    <t>Diango DIABY</t>
  </si>
  <si>
    <t>Hamady Ounaré</t>
  </si>
  <si>
    <t xml:space="preserve">GIE Alla Lewy </t>
    <phoneticPr fontId="1"/>
  </si>
  <si>
    <t>Souleymane Diagana</t>
    <phoneticPr fontId="1"/>
  </si>
  <si>
    <t>77 671 02 95</t>
    <phoneticPr fontId="1"/>
  </si>
  <si>
    <t>VALTRA</t>
  </si>
  <si>
    <t>Moins de 100</t>
  </si>
  <si>
    <t>Union Hydraulique de Hamady Ounaré</t>
    <phoneticPr fontId="1"/>
  </si>
  <si>
    <t>Union</t>
  </si>
  <si>
    <t>Abdoulaye KANE</t>
  </si>
  <si>
    <t>77 632 39 35</t>
  </si>
  <si>
    <t>GIE Dagano</t>
    <phoneticPr fontId="1"/>
  </si>
  <si>
    <t>Orkadiéré</t>
    <phoneticPr fontId="1"/>
  </si>
  <si>
    <t>Arona Dagano</t>
    <phoneticPr fontId="1"/>
  </si>
  <si>
    <t>77 693 06 56</t>
    <phoneticPr fontId="1"/>
  </si>
  <si>
    <t>78 693 06 56</t>
  </si>
  <si>
    <t>79 693 06 56</t>
  </si>
  <si>
    <t>80 693 06 56</t>
  </si>
  <si>
    <t>81 693 06 56</t>
  </si>
  <si>
    <t>82 693 06 56</t>
  </si>
  <si>
    <t>83 693 06 56</t>
  </si>
  <si>
    <t>84 693 06 56</t>
  </si>
  <si>
    <t>85 693 06 56</t>
  </si>
  <si>
    <t>86 693 06 56</t>
  </si>
  <si>
    <t>GIE Dembacané 2</t>
    <phoneticPr fontId="1"/>
  </si>
  <si>
    <t>Dembacané</t>
  </si>
  <si>
    <t>Baye Soumare</t>
  </si>
  <si>
    <t>CASE</t>
  </si>
  <si>
    <t>ZOOMLION</t>
  </si>
  <si>
    <t>Autre</t>
  </si>
  <si>
    <t>GIE Ganguel</t>
    <phoneticPr fontId="1"/>
  </si>
  <si>
    <t>Orkadiéré</t>
  </si>
  <si>
    <t>Oumar BA</t>
  </si>
  <si>
    <t>77 511 88 94</t>
  </si>
  <si>
    <t>GIE Jokkéré Endam Wendou Bosséabé</t>
  </si>
  <si>
    <t>Alassane Dia</t>
  </si>
  <si>
    <t>77 564 38 05</t>
  </si>
  <si>
    <t>GIE Ngano</t>
    <phoneticPr fontId="1"/>
  </si>
  <si>
    <t>Issaga Mamadou Diop</t>
  </si>
  <si>
    <t>77 563 85 20</t>
  </si>
  <si>
    <t>GIE Nourou Cheikh Moussa Camara</t>
    <phoneticPr fontId="1"/>
  </si>
  <si>
    <t>Ismaila Sadou Camara</t>
  </si>
  <si>
    <t>77 148 19 18</t>
  </si>
  <si>
    <t>GIE PiP Balel</t>
  </si>
  <si>
    <t>Djiby SOW</t>
  </si>
  <si>
    <t>77 528 37 76</t>
  </si>
  <si>
    <t xml:space="preserve">GIE Waoundé 1 </t>
    <phoneticPr fontId="1"/>
  </si>
  <si>
    <t>Samba Camera</t>
  </si>
  <si>
    <t>Kadiatou BASSOUM</t>
  </si>
  <si>
    <t>Kisma Delba SOW</t>
  </si>
  <si>
    <t>Mamadou Abdoulaye MEYTY</t>
  </si>
  <si>
    <t>Thierno Hameth SALL</t>
  </si>
  <si>
    <t>Sinthiou Bamambé</t>
  </si>
  <si>
    <t>Union des GIE de Diamoungeul 1 et 2</t>
    <phoneticPr fontId="1"/>
  </si>
  <si>
    <t>Aouré</t>
  </si>
  <si>
    <t>Adama Diallo</t>
  </si>
  <si>
    <t>77 526 26 72</t>
  </si>
  <si>
    <t>Union Hydraulique de Dolol/Wodobéré</t>
    <phoneticPr fontId="1"/>
  </si>
  <si>
    <t>Seydou SOW</t>
  </si>
  <si>
    <t>78 336 23 42</t>
  </si>
  <si>
    <t>Mbegnouga et frères</t>
  </si>
  <si>
    <t>Mamadou Mbegnouga</t>
  </si>
  <si>
    <t>Union Orkadiéré</t>
    <phoneticPr fontId="1"/>
  </si>
  <si>
    <t>77 513 36 15</t>
  </si>
  <si>
    <t>78 513 36 15</t>
  </si>
  <si>
    <t>Amadou KANE</t>
  </si>
  <si>
    <t>78 479 60 40</t>
  </si>
  <si>
    <t>Famille Mbégnouga</t>
  </si>
  <si>
    <t>Adama Mbégnouga</t>
  </si>
  <si>
    <t>77 563 94 83</t>
  </si>
  <si>
    <t>Thierno Abdoul BA</t>
  </si>
  <si>
    <t>DIENG et Fammile</t>
  </si>
  <si>
    <t>DIENG</t>
  </si>
  <si>
    <t>77 674 88 65</t>
  </si>
  <si>
    <t>Semmé</t>
  </si>
  <si>
    <t>Samba KANE</t>
  </si>
  <si>
    <t>Talla</t>
  </si>
  <si>
    <t>Mamadou TALL</t>
  </si>
  <si>
    <t>Mmadou TALL</t>
  </si>
  <si>
    <t>Docteur DAFF</t>
  </si>
  <si>
    <t>Aucun matériel</t>
  </si>
  <si>
    <t>RENAULT</t>
  </si>
  <si>
    <t>N°</t>
  </si>
  <si>
    <t>Etat</t>
  </si>
  <si>
    <t>Privé/Union</t>
    <phoneticPr fontId="1"/>
  </si>
  <si>
    <t>Contact</t>
    <phoneticPr fontId="1"/>
  </si>
  <si>
    <t>Tracteur Puissance</t>
    <phoneticPr fontId="1"/>
  </si>
  <si>
    <t>Offset/
Charrue</t>
    <phoneticPr fontId="1"/>
  </si>
  <si>
    <t>MB Etat</t>
    <phoneticPr fontId="1"/>
  </si>
  <si>
    <t>Abdoulaye Djiby THIAM</t>
  </si>
  <si>
    <t>Nabadji Civol</t>
  </si>
  <si>
    <t>Comité de Gestion de Koundel 3</t>
    <phoneticPr fontId="1"/>
  </si>
  <si>
    <t xml:space="preserve">
Abdoulaye Saidou Diaw</t>
  </si>
  <si>
    <t>Comité de Gestion de Woudourou 1</t>
    <phoneticPr fontId="1"/>
  </si>
  <si>
    <t>Seydou Kane</t>
  </si>
  <si>
    <t>77 617 00 25
77 555 77 98</t>
    <phoneticPr fontId="1"/>
  </si>
  <si>
    <t>Déworoy Jokkéré Endam</t>
    <phoneticPr fontId="1"/>
  </si>
  <si>
    <t>Arona Sall</t>
    <phoneticPr fontId="1"/>
  </si>
  <si>
    <t>78 496 44 02</t>
    <phoneticPr fontId="1"/>
  </si>
  <si>
    <t>Dieynaba Abdoul SY</t>
  </si>
  <si>
    <t>Agnam Civol</t>
  </si>
  <si>
    <t>GIE Alphala</t>
    <phoneticPr fontId="1"/>
  </si>
  <si>
    <t>Abdoulaye Gassama</t>
  </si>
  <si>
    <t>77 966 50 84</t>
  </si>
  <si>
    <t>GIE Dowourou</t>
    <phoneticPr fontId="1"/>
  </si>
  <si>
    <t>Abdou Aziz Diop</t>
  </si>
  <si>
    <t>77 350 56 60</t>
  </si>
  <si>
    <t>GIE Fadigada</t>
    <phoneticPr fontId="1"/>
  </si>
  <si>
    <t>Dabia</t>
  </si>
  <si>
    <t>Mamadou Kane</t>
  </si>
  <si>
    <t>77 563 64 97</t>
  </si>
  <si>
    <t>GIE Moyyere Thierno Yaya</t>
    <phoneticPr fontId="1"/>
  </si>
  <si>
    <t>Oumar Deme</t>
  </si>
  <si>
    <t>77 643 65 61</t>
  </si>
  <si>
    <t xml:space="preserve">GIE Ndéma </t>
    <phoneticPr fontId="1"/>
  </si>
  <si>
    <t>El Hadji Malick Dème</t>
  </si>
  <si>
    <t>77 551 73 84</t>
  </si>
  <si>
    <t>GIE Raky Ganna</t>
    <phoneticPr fontId="1"/>
  </si>
  <si>
    <t>Abou Thioub</t>
  </si>
  <si>
    <t>77 542 42 88</t>
  </si>
  <si>
    <t>78 542 42 88</t>
  </si>
  <si>
    <t>GIE Sognane et Frères</t>
    <phoneticPr fontId="1"/>
  </si>
  <si>
    <t>Maissa Yero Sognane</t>
  </si>
  <si>
    <t>77 609 42 72</t>
  </si>
  <si>
    <t>GIE Townde</t>
    <phoneticPr fontId="1"/>
  </si>
  <si>
    <t>Sidy Dème</t>
  </si>
  <si>
    <t>77 325 78 39</t>
  </si>
  <si>
    <t>78 325 78 39</t>
  </si>
  <si>
    <t>CLAAS</t>
  </si>
  <si>
    <t>GIE Yarnde</t>
    <phoneticPr fontId="1"/>
  </si>
  <si>
    <t xml:space="preserve">Bokidiawé </t>
  </si>
  <si>
    <t>Bokar KANE</t>
  </si>
  <si>
    <t>77 563 34 21</t>
  </si>
  <si>
    <t>Harouna DIOP</t>
  </si>
  <si>
    <t>Mamadou BA</t>
  </si>
  <si>
    <t>Danthiady</t>
  </si>
  <si>
    <t>Mamadou Lamine LY</t>
  </si>
  <si>
    <t>Union Bosséa 1</t>
  </si>
  <si>
    <t>Mouhamadou Malick SALL</t>
  </si>
  <si>
    <t>Ogo</t>
  </si>
  <si>
    <t>Thierno Aliou Thiam</t>
    <phoneticPr fontId="1"/>
  </si>
  <si>
    <t xml:space="preserve">Ourossogui </t>
  </si>
  <si>
    <t>Thierno Aliou Thiam</t>
  </si>
  <si>
    <t>77 559 59 45</t>
  </si>
  <si>
    <t>Union  Hydraulique  de  Matam</t>
    <phoneticPr fontId="1"/>
  </si>
  <si>
    <t>Union de Sadel</t>
    <phoneticPr fontId="1"/>
  </si>
  <si>
    <t>Demba NDIAYE</t>
  </si>
  <si>
    <t>77 261 55 71</t>
  </si>
  <si>
    <t>78 261 55 71</t>
  </si>
  <si>
    <t>Union des GIE de DIAL</t>
    <phoneticPr fontId="1"/>
  </si>
  <si>
    <t>Abdourahmane Samba Diew</t>
  </si>
  <si>
    <t>77 169 59 28</t>
  </si>
  <si>
    <t>Massey Ferguson</t>
  </si>
  <si>
    <t>Union des GIE de Dondou</t>
    <phoneticPr fontId="1"/>
  </si>
  <si>
    <t>Mamadou GUEE</t>
  </si>
  <si>
    <t>77 508 43 19</t>
  </si>
  <si>
    <t>Union du Casier Doumga Ouro Thierno</t>
  </si>
  <si>
    <t>Union Hydraulique de Kobilo</t>
    <phoneticPr fontId="1"/>
  </si>
  <si>
    <t>77 563 93 21</t>
  </si>
  <si>
    <t>78 563 93 21</t>
  </si>
  <si>
    <t>Ibrahima THIOUB</t>
  </si>
  <si>
    <t>Union Hydraulique de Ndouloumadji</t>
    <phoneticPr fontId="1"/>
  </si>
  <si>
    <t>Adama Ndiaye</t>
  </si>
  <si>
    <t>77 247 11 60</t>
  </si>
  <si>
    <t>Union Kawral Rémobé 
Nguénar</t>
    <phoneticPr fontId="1"/>
  </si>
  <si>
    <t>Birane Hamet Diack (remplacé par sa femme)</t>
  </si>
  <si>
    <t>77 995 07 16</t>
  </si>
  <si>
    <t>Union Régionale des Interprofessionnels de Semences (URIS)</t>
  </si>
  <si>
    <t>Mamadou NDIADE</t>
  </si>
  <si>
    <t>Makhana Diéri</t>
  </si>
  <si>
    <t>Yaya PAM</t>
  </si>
  <si>
    <t>Mouhamed WAGUE</t>
  </si>
  <si>
    <t>Yaya Abdoul KANE</t>
  </si>
  <si>
    <t>KANE ANCAR</t>
  </si>
  <si>
    <t>Demba Gatta THIOUB</t>
  </si>
  <si>
    <t>Mamoudou TALL</t>
  </si>
  <si>
    <t>Mamoudou Kane</t>
  </si>
  <si>
    <t>Cheikh GUEYE</t>
  </si>
  <si>
    <t>77 560 39 44</t>
  </si>
  <si>
    <t>78 560 39 44</t>
  </si>
  <si>
    <t>77 143 98 78</t>
  </si>
  <si>
    <t>Amadou SALL</t>
  </si>
  <si>
    <t>Zone SAED</t>
  </si>
  <si>
    <t>Localité</t>
  </si>
  <si>
    <t>Matam/ogo</t>
  </si>
  <si>
    <t>Agnam/Oréfondé</t>
  </si>
  <si>
    <t>77 638 56 06</t>
  </si>
  <si>
    <t>77 131 12 25</t>
  </si>
  <si>
    <t>77 268 34 66</t>
  </si>
  <si>
    <t>77 626 18 08</t>
  </si>
  <si>
    <t>Samba DIENG</t>
  </si>
  <si>
    <t>BARRO</t>
  </si>
  <si>
    <t>Walel</t>
  </si>
  <si>
    <t>Foton</t>
  </si>
  <si>
    <t>Dialloubé</t>
  </si>
  <si>
    <t>barro</t>
  </si>
  <si>
    <t>78 112 38 44</t>
  </si>
  <si>
    <t>Mamel DEME</t>
  </si>
  <si>
    <t>Doundé</t>
  </si>
  <si>
    <t>SONOLIKA</t>
  </si>
  <si>
    <t>Oumar Aguibou SOW</t>
  </si>
  <si>
    <t>77 857 83 18</t>
  </si>
  <si>
    <t>77 048 13 19</t>
  </si>
  <si>
    <t>Foton (2)</t>
  </si>
  <si>
    <t>Moussa BEYTA</t>
  </si>
  <si>
    <t>Wendou  nody</t>
  </si>
  <si>
    <t>77 089 24 99</t>
  </si>
  <si>
    <t>Harouna</t>
  </si>
  <si>
    <t>harouna</t>
  </si>
  <si>
    <t>77 931 16 28</t>
  </si>
  <si>
    <t>New holland</t>
  </si>
  <si>
    <t>Private</t>
  </si>
  <si>
    <t>Private</t>
    <phoneticPr fontId="5" type="noConversion"/>
  </si>
  <si>
    <t>Type of Machine</t>
    <phoneticPr fontId="8"/>
  </si>
  <si>
    <t>Number of Machine</t>
    <phoneticPr fontId="8"/>
  </si>
  <si>
    <t>Tractor</t>
    <phoneticPr fontId="8"/>
  </si>
  <si>
    <t>Combine Harvester</t>
    <phoneticPr fontId="8"/>
  </si>
  <si>
    <t>Total</t>
    <phoneticPr fontId="8"/>
  </si>
  <si>
    <t>Type of Owner</t>
    <phoneticPr fontId="8"/>
  </si>
  <si>
    <t>Number of Owner</t>
    <phoneticPr fontId="8"/>
  </si>
  <si>
    <t>Possetion Rate of Owner</t>
    <phoneticPr fontId="8"/>
  </si>
  <si>
    <t>Union</t>
    <phoneticPr fontId="8"/>
  </si>
  <si>
    <t>Sub-total</t>
    <phoneticPr fontId="8"/>
  </si>
  <si>
    <t>-</t>
    <phoneticPr fontId="8"/>
  </si>
  <si>
    <t>Private</t>
    <phoneticPr fontId="8"/>
  </si>
  <si>
    <t>Operational Situation of Machine</t>
    <phoneticPr fontId="8"/>
  </si>
  <si>
    <t>Operation Situation</t>
    <phoneticPr fontId="8"/>
  </si>
  <si>
    <t>Number of 
Operational Machine</t>
    <phoneticPr fontId="8"/>
  </si>
  <si>
    <t>Operational Rate</t>
    <phoneticPr fontId="8"/>
  </si>
  <si>
    <t>Function</t>
    <phoneticPr fontId="8"/>
  </si>
  <si>
    <t>Breakdown</t>
    <phoneticPr fontId="8"/>
  </si>
  <si>
    <t>Owner-basis Operational Situation of Tractor</t>
    <phoneticPr fontId="8"/>
  </si>
  <si>
    <t>Owner-basis Operational Situation of Combine Harvester</t>
    <phoneticPr fontId="8"/>
  </si>
  <si>
    <t>Acquisition Period of Machine</t>
    <phoneticPr fontId="8"/>
  </si>
  <si>
    <t>Acquisition Year</t>
    <phoneticPr fontId="8"/>
  </si>
  <si>
    <t>Year</t>
    <phoneticPr fontId="8"/>
  </si>
  <si>
    <t>Before 2018</t>
    <phoneticPr fontId="8"/>
  </si>
  <si>
    <t>&gt;2018</t>
    <phoneticPr fontId="8"/>
  </si>
  <si>
    <t>Year 2018</t>
    <phoneticPr fontId="8"/>
  </si>
  <si>
    <t>Year 2019</t>
    <phoneticPr fontId="8"/>
  </si>
  <si>
    <t>Year 2020</t>
    <phoneticPr fontId="8"/>
  </si>
  <si>
    <t>Year 2021</t>
    <phoneticPr fontId="8"/>
  </si>
  <si>
    <t>Year 2022</t>
    <phoneticPr fontId="8"/>
  </si>
  <si>
    <t>Year 2023</t>
    <phoneticPr fontId="8"/>
  </si>
  <si>
    <t>Year 2024</t>
    <phoneticPr fontId="8"/>
  </si>
  <si>
    <t>Year 2025</t>
    <phoneticPr fontId="8"/>
  </si>
  <si>
    <t>N/A</t>
    <phoneticPr fontId="8"/>
  </si>
  <si>
    <t>Acquisition Period of Tractor</t>
    <phoneticPr fontId="8"/>
  </si>
  <si>
    <t>Acquisition Period of Combine Harvester</t>
    <phoneticPr fontId="8"/>
  </si>
  <si>
    <t>Type materiel</t>
    <phoneticPr fontId="5" type="noConversion"/>
  </si>
  <si>
    <t>Tractor</t>
  </si>
  <si>
    <t>Tractor</t>
    <phoneticPr fontId="5" type="noConversion"/>
  </si>
  <si>
    <t>Combine Harvester</t>
    <phoneticPr fontId="5" type="noConversion"/>
  </si>
  <si>
    <t>Function</t>
  </si>
  <si>
    <t>N/A</t>
  </si>
  <si>
    <t>N/A</t>
    <phoneticPr fontId="5" type="noConversion"/>
  </si>
  <si>
    <t>Breakdown</t>
  </si>
  <si>
    <t>Breakdown</t>
    <phoneticPr fontId="5" type="noConversion"/>
  </si>
  <si>
    <t>Nombre de tracteurs</t>
    <phoneticPr fontId="16"/>
  </si>
  <si>
    <t>Secteur</t>
    <phoneticPr fontId="16"/>
  </si>
  <si>
    <t>Commune</t>
    <phoneticPr fontId="16"/>
  </si>
  <si>
    <t>Type materiel</t>
    <phoneticPr fontId="16"/>
  </si>
  <si>
    <t>Bon état</t>
    <phoneticPr fontId="16"/>
  </si>
  <si>
    <t>Panne</t>
    <phoneticPr fontId="16"/>
  </si>
  <si>
    <t>Function</t>
    <phoneticPr fontId="16"/>
  </si>
  <si>
    <t>Breakdown</t>
    <phoneticPr fontId="16"/>
  </si>
  <si>
    <t>Tracteur</t>
  </si>
  <si>
    <t>Tractor</t>
    <phoneticPr fontId="16"/>
  </si>
  <si>
    <t>Sous-total</t>
    <phoneticPr fontId="16"/>
  </si>
  <si>
    <t>Total</t>
    <phoneticPr fontId="16"/>
  </si>
  <si>
    <t>Nombre de moissonneuses-batteuses</t>
    <phoneticPr fontId="16"/>
  </si>
  <si>
    <t>Moissonneuses-batteuses</t>
    <phoneticPr fontId="16"/>
  </si>
  <si>
    <t>Combine Harvester</t>
    <phoneticPr fontId="16"/>
  </si>
  <si>
    <t>Bokidiawé</t>
    <phoneticPr fontId="5" type="noConversion"/>
  </si>
  <si>
    <t>Dabia</t>
    <phoneticPr fontId="5" type="noConversion"/>
  </si>
  <si>
    <t>Nabadji</t>
  </si>
  <si>
    <t>Nabadji</t>
    <phoneticPr fontId="5" type="noConversion"/>
  </si>
  <si>
    <t>Aouré</t>
    <phoneticPr fontId="5" type="noConversion"/>
  </si>
  <si>
    <t>Ndendory</t>
    <phoneticPr fontId="5" type="noConversion"/>
  </si>
  <si>
    <t>Orkadiere</t>
    <phoneticPr fontId="5" type="noConversion"/>
  </si>
  <si>
    <t>Semmé</t>
    <phoneticPr fontId="5" type="noConversion"/>
  </si>
  <si>
    <t>Matam</t>
    <phoneticPr fontId="16"/>
  </si>
  <si>
    <t>Matam</t>
    <phoneticPr fontId="5" type="noConversion"/>
  </si>
  <si>
    <t>Tractor</t>
    <phoneticPr fontId="18"/>
  </si>
  <si>
    <t>Combine Harvester</t>
    <phoneticPr fontId="18"/>
  </si>
  <si>
    <t>Service Provider
(Extract)</t>
    <phoneticPr fontId="18"/>
  </si>
  <si>
    <t>Service Provider
(List)</t>
    <phoneticPr fontId="18"/>
  </si>
  <si>
    <t>List of Service provider</t>
    <phoneticPr fontId="18"/>
  </si>
  <si>
    <t>Form</t>
    <phoneticPr fontId="18"/>
  </si>
  <si>
    <t>Union des GIE de Diamoungeul 1 et 2</t>
  </si>
  <si>
    <t>Union Hydraulique de Dolol/Wodobéré</t>
  </si>
  <si>
    <t>Union Hydraulique de Hamady Ounaré</t>
  </si>
  <si>
    <t xml:space="preserve">GIE Alla Lewy </t>
  </si>
  <si>
    <t>GIE Ngano</t>
  </si>
  <si>
    <t>GIE Dembacané 2</t>
  </si>
  <si>
    <t>GIE Nourou Cheikh Moussa Camara</t>
  </si>
  <si>
    <t>GIE Dagano</t>
  </si>
  <si>
    <t>GIE Ganguel</t>
  </si>
  <si>
    <t>Union Orkadiéré</t>
  </si>
  <si>
    <t>Association des Agriculteurs de Waoundé</t>
  </si>
  <si>
    <t xml:space="preserve">GIE Waoundé 1 </t>
  </si>
  <si>
    <t>GIE Dowourou</t>
  </si>
  <si>
    <t>Union de Sadel</t>
  </si>
  <si>
    <t>Union des GIE de Dondou</t>
  </si>
  <si>
    <t>Union Kawral Rémobé 
Nguénar</t>
  </si>
  <si>
    <t>GIE Yarnde</t>
  </si>
  <si>
    <t>Union des GIE de DIAL</t>
  </si>
  <si>
    <t>GIE Fadigada</t>
  </si>
  <si>
    <t>Union Hydraulique de Kobilo</t>
  </si>
  <si>
    <t>GIE Raky Ganna</t>
  </si>
  <si>
    <t>Union  Hydraulique  de  Matam</t>
  </si>
  <si>
    <t>Comité de Gestion de Koundel 3</t>
  </si>
  <si>
    <t>Comité de Gestion de Woudourou 1</t>
  </si>
  <si>
    <t>Déworoy Jokkéré Endam</t>
  </si>
  <si>
    <t>GIE Alphala</t>
  </si>
  <si>
    <t>GIE Moyyere Thierno Yaya</t>
  </si>
  <si>
    <t xml:space="preserve">GIE Ndéma </t>
  </si>
  <si>
    <t>GIE Sognane et Frères</t>
  </si>
  <si>
    <t>GIE Townde</t>
  </si>
  <si>
    <t>Union Hydraulique de Ndouloumadji</t>
  </si>
  <si>
    <t>Union</t>
    <phoneticPr fontId="18"/>
  </si>
  <si>
    <t>Private</t>
    <phoneticPr fontId="18"/>
  </si>
  <si>
    <t>Inventory Result (Matam and Kanel)</t>
    <phoneticPr fontId="8"/>
  </si>
  <si>
    <t>Modelé</t>
  </si>
  <si>
    <t>Numéro de série</t>
  </si>
  <si>
    <t>Marque</t>
    <phoneticPr fontId="1"/>
  </si>
  <si>
    <t>Tracteur</t>
    <phoneticPr fontId="16"/>
  </si>
  <si>
    <t xml:space="preserve">Moissonneuse Batteuse </t>
    <phoneticPr fontId="16"/>
  </si>
  <si>
    <t>ZOOMLION</t>
    <phoneticPr fontId="16"/>
  </si>
  <si>
    <t>Etat</t>
    <phoneticPr fontId="1"/>
  </si>
  <si>
    <t xml:space="preserve"> Puissance</t>
    <phoneticPr fontId="1"/>
  </si>
  <si>
    <t>Modèle</t>
  </si>
  <si>
    <t>1002 4WD</t>
  </si>
  <si>
    <t>BC 4500</t>
  </si>
  <si>
    <t>BC 4600</t>
  </si>
  <si>
    <t>A750</t>
  </si>
  <si>
    <t>553 WIX</t>
  </si>
  <si>
    <t>D</t>
  </si>
  <si>
    <t>X1254</t>
  </si>
  <si>
    <t>T6050</t>
  </si>
  <si>
    <t>BH 165</t>
  </si>
  <si>
    <t>BM125 I</t>
  </si>
  <si>
    <t>YTO 31911728</t>
  </si>
  <si>
    <t>80DT</t>
  </si>
  <si>
    <t>YUTONG</t>
  </si>
  <si>
    <t>4LZT-4.0ZT</t>
  </si>
  <si>
    <t>CROP TIGER 40</t>
  </si>
  <si>
    <t>TERRA TRAC</t>
  </si>
  <si>
    <t xml:space="preserve"> RUILONG PLUS</t>
  </si>
  <si>
    <t>4LZ-6.OP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</si>
</sst>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3"/>
      <charset val="128"/>
      <scheme val="minor"/>
    </font>
    <font>
      <sz val="18"/>
      <color indexed="54"/>
      <name val="Calibri Light"/>
      <family val="2"/>
    </font>
    <font>
      <b/>
      <sz val="9"/>
      <name val="Garamond"/>
      <family val="1"/>
    </font>
    <font>
      <sz val="9"/>
      <name val="Garamond"/>
      <family val="1"/>
    </font>
    <font>
      <sz val="8"/>
      <name val="Garamond"/>
      <family val="1"/>
    </font>
    <font>
      <sz val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b/>
      <sz val="12"/>
      <color theme="1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0"/>
      <name val="Arial  "/>
    </font>
    <font>
      <sz val="6"/>
      <name val="Calibri"/>
      <family val="2"/>
      <charset val="128"/>
      <scheme val="minor"/>
    </font>
    <font>
      <b/>
      <sz val="8"/>
      <name val="Arial  "/>
    </font>
    <font>
      <sz val="9"/>
      <name val="Arial  "/>
      <family val="2"/>
    </font>
    <font>
      <sz val="9"/>
      <color theme="1"/>
      <name val="Arial  "/>
    </font>
    <font>
      <sz val="9"/>
      <color theme="1"/>
      <name val="Arial  "/>
      <family val="2"/>
    </font>
    <font>
      <sz val="9"/>
      <color theme="1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5" fillId="0" borderId="0"/>
  </cellStyleXfs>
  <cellXfs count="81">
    <xf numFmtId="0" fontId="0" fillId="0" borderId="0" xfId="0"/>
    <xf numFmtId="0" fontId="10" fillId="0" borderId="0" xfId="0" applyFont="1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/>
    <xf numFmtId="0" fontId="13" fillId="0" borderId="0" xfId="0" applyFont="1"/>
    <xf numFmtId="0" fontId="14" fillId="0" borderId="0" xfId="0" applyFont="1"/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4" xfId="0" applyFont="1" applyBorder="1"/>
    <xf numFmtId="9" fontId="13" fillId="0" borderId="4" xfId="1" applyFont="1" applyBorder="1" applyAlignment="1"/>
    <xf numFmtId="0" fontId="14" fillId="0" borderId="4" xfId="0" applyFont="1" applyBorder="1" applyAlignment="1">
      <alignment horizontal="centerContinuous"/>
    </xf>
    <xf numFmtId="0" fontId="13" fillId="0" borderId="4" xfId="0" applyFont="1" applyBorder="1" applyAlignment="1">
      <alignment horizontal="centerContinuous"/>
    </xf>
    <xf numFmtId="0" fontId="13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Continuous"/>
    </xf>
    <xf numFmtId="0" fontId="13" fillId="0" borderId="5" xfId="0" applyFont="1" applyBorder="1"/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Continuous" vertical="center" wrapText="1"/>
      <protection locked="0"/>
    </xf>
    <xf numFmtId="0" fontId="14" fillId="0" borderId="0" xfId="2" applyFont="1"/>
    <xf numFmtId="0" fontId="13" fillId="0" borderId="0" xfId="2" applyFont="1"/>
    <xf numFmtId="0" fontId="14" fillId="0" borderId="4" xfId="2" applyFont="1" applyBorder="1" applyAlignment="1">
      <alignment horizontal="centerContinuous"/>
    </xf>
    <xf numFmtId="0" fontId="14" fillId="0" borderId="4" xfId="2" applyFont="1" applyBorder="1" applyAlignment="1">
      <alignment horizontal="center"/>
    </xf>
    <xf numFmtId="0" fontId="13" fillId="0" borderId="4" xfId="2" applyFont="1" applyBorder="1"/>
    <xf numFmtId="0" fontId="13" fillId="0" borderId="4" xfId="2" applyFont="1" applyBorder="1" applyAlignment="1">
      <alignment horizontal="center"/>
    </xf>
    <xf numFmtId="0" fontId="14" fillId="0" borderId="4" xfId="2" applyFont="1" applyBorder="1"/>
    <xf numFmtId="0" fontId="17" fillId="0" borderId="0" xfId="0" applyFont="1" applyAlignment="1" applyProtection="1">
      <alignment horizontal="centerContinuous" vertical="center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vertical="center"/>
      <protection locked="0"/>
    </xf>
    <xf numFmtId="0" fontId="17" fillId="0" borderId="1" xfId="0" applyFont="1" applyBorder="1" applyAlignment="1" applyProtection="1">
      <alignment horizontal="centerContinuous" vertical="center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vertical="center"/>
    </xf>
    <xf numFmtId="0" fontId="10" fillId="0" borderId="1" xfId="0" applyFont="1" applyBorder="1" applyAlignment="1">
      <alignment wrapText="1"/>
    </xf>
    <xf numFmtId="0" fontId="22" fillId="0" borderId="0" xfId="0" applyFont="1" applyAlignment="1">
      <alignment vertical="center"/>
    </xf>
    <xf numFmtId="0" fontId="14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1" fillId="0" borderId="1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right" vertical="center" wrapText="1"/>
      <protection locked="0"/>
    </xf>
    <xf numFmtId="0" fontId="3" fillId="0" borderId="1" xfId="0" applyFont="1" applyBorder="1" applyAlignment="1" applyProtection="1">
      <alignment horizontal="right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3" fillId="0" borderId="2" xfId="0" applyFont="1" applyBorder="1" applyAlignment="1" applyProtection="1">
      <alignment horizontal="left" vertical="center"/>
      <protection locked="0" hidden="1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left" vertical="center"/>
      <protection hidden="1"/>
    </xf>
    <xf numFmtId="3" fontId="3" fillId="0" borderId="1" xfId="0" applyNumberFormat="1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 hidden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vertical="center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14" fillId="0" borderId="4" xfId="2" applyFont="1" applyBorder="1" applyAlignment="1">
      <alignment horizontal="center" vertical="center"/>
    </xf>
  </cellXfs>
  <cellStyles count="3">
    <cellStyle name="Normal" xfId="0" builtinId="0"/>
    <cellStyle name="Pourcentage" xfId="1" builtinId="5"/>
    <cellStyle name="標準 2" xfId="2" xr:uid="{55DEDD5C-B459-448E-870A-08ADF943F3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FDAE-6660-4894-87E7-1903FFD8C5DC}">
  <sheetPr filterMode="1"/>
  <dimension ref="A1:AB136"/>
  <sheetViews>
    <sheetView tabSelected="1" zoomScaleNormal="100" workbookViewId="0">
      <pane xSplit="5" ySplit="2" topLeftCell="F95" activePane="bottomRight" state="frozen"/>
      <selection pane="topRight" activeCell="G1" sqref="G1"/>
      <selection pane="bottomLeft" activeCell="A2" sqref="A2"/>
      <selection pane="bottomRight" activeCell="K113" sqref="K113"/>
    </sheetView>
  </sheetViews>
  <sheetFormatPr baseColWidth="10" defaultColWidth="10.90625" defaultRowHeight="14.5"/>
  <cols>
    <col min="1" max="1" width="3.81640625" style="6" customWidth="1"/>
    <col min="2" max="2" width="9.1796875" style="1" customWidth="1"/>
    <col min="3" max="3" width="29.1796875" style="1" customWidth="1"/>
    <col min="4" max="4" width="10.90625" style="9"/>
    <col min="5" max="5" width="17" style="9" bestFit="1" customWidth="1"/>
    <col min="6" max="7" width="13.1796875" style="1" customWidth="1"/>
    <col min="8" max="8" width="25.81640625" style="10" customWidth="1"/>
    <col min="9" max="9" width="12.81640625" style="1" customWidth="1"/>
    <col min="10" max="11" width="10.90625" style="1"/>
    <col min="12" max="12" width="13.36328125" style="1" bestFit="1" customWidth="1"/>
    <col min="13" max="18" width="10.90625" style="11"/>
    <col min="19" max="19" width="10.90625" style="1"/>
    <col min="20" max="23" width="12.54296875" style="1" customWidth="1"/>
    <col min="24" max="24" width="10.90625" style="1"/>
    <col min="25" max="25" width="25.81640625" style="1" customWidth="1"/>
    <col min="26" max="26" width="10.90625" style="1"/>
    <col min="27" max="27" width="25.81640625" style="1" customWidth="1"/>
    <col min="28" max="16384" width="10.90625" style="1"/>
  </cols>
  <sheetData>
    <row r="1" spans="1:28">
      <c r="T1" s="35" t="s">
        <v>307</v>
      </c>
      <c r="U1" s="35"/>
      <c r="V1" s="35" t="s">
        <v>308</v>
      </c>
      <c r="W1" s="35"/>
      <c r="Y1" s="38" t="s">
        <v>307</v>
      </c>
      <c r="Z1" s="38"/>
      <c r="AA1" s="38" t="s">
        <v>308</v>
      </c>
      <c r="AB1" s="38"/>
    </row>
    <row r="2" spans="1:28" ht="24">
      <c r="A2" s="7" t="s">
        <v>106</v>
      </c>
      <c r="B2" s="2" t="s">
        <v>0</v>
      </c>
      <c r="C2" s="2" t="s">
        <v>1</v>
      </c>
      <c r="D2" s="8" t="s">
        <v>108</v>
      </c>
      <c r="E2" s="27" t="s">
        <v>273</v>
      </c>
      <c r="F2" s="2" t="s">
        <v>207</v>
      </c>
      <c r="G2" s="12" t="s">
        <v>206</v>
      </c>
      <c r="H2" s="2" t="s">
        <v>2</v>
      </c>
      <c r="I2" s="2" t="s">
        <v>109</v>
      </c>
      <c r="J2" s="3" t="s">
        <v>349</v>
      </c>
      <c r="K2" s="3" t="s">
        <v>355</v>
      </c>
      <c r="L2" s="3" t="s">
        <v>348</v>
      </c>
      <c r="M2" s="3" t="s">
        <v>353</v>
      </c>
      <c r="N2" s="3" t="s">
        <v>7</v>
      </c>
      <c r="O2" s="3" t="s">
        <v>354</v>
      </c>
      <c r="P2" s="4" t="s">
        <v>111</v>
      </c>
      <c r="Q2" s="4" t="s">
        <v>107</v>
      </c>
      <c r="R2" s="4" t="s">
        <v>7</v>
      </c>
      <c r="T2" s="36" t="s">
        <v>309</v>
      </c>
      <c r="U2" s="36" t="s">
        <v>310</v>
      </c>
      <c r="V2" s="36" t="s">
        <v>309</v>
      </c>
      <c r="W2" s="36" t="s">
        <v>310</v>
      </c>
      <c r="Y2" s="39" t="s">
        <v>311</v>
      </c>
      <c r="Z2" s="39" t="s">
        <v>312</v>
      </c>
      <c r="AA2" s="39" t="s">
        <v>311</v>
      </c>
      <c r="AB2" s="39" t="s">
        <v>312</v>
      </c>
    </row>
    <row r="3" spans="1:28" ht="29" hidden="1">
      <c r="A3" s="52">
        <v>1</v>
      </c>
      <c r="B3" s="55" t="s">
        <v>14</v>
      </c>
      <c r="C3" s="58" t="s">
        <v>4</v>
      </c>
      <c r="D3" s="55" t="s">
        <v>235</v>
      </c>
      <c r="E3" s="55" t="s">
        <v>350</v>
      </c>
      <c r="F3" s="55" t="s">
        <v>5</v>
      </c>
      <c r="G3" s="55" t="s">
        <v>5</v>
      </c>
      <c r="H3" s="58" t="s">
        <v>4</v>
      </c>
      <c r="I3" s="55">
        <v>771654286</v>
      </c>
      <c r="J3" s="49" t="s">
        <v>9</v>
      </c>
      <c r="K3" s="49" t="s">
        <v>356</v>
      </c>
      <c r="L3" s="49"/>
      <c r="M3" s="49" t="s">
        <v>277</v>
      </c>
      <c r="N3" s="49">
        <v>2019</v>
      </c>
      <c r="O3" s="49">
        <v>100</v>
      </c>
      <c r="P3" s="49" t="s">
        <v>10</v>
      </c>
      <c r="Q3" s="49" t="s">
        <v>277</v>
      </c>
      <c r="R3" s="49">
        <v>2019</v>
      </c>
      <c r="T3" s="37" t="str" cm="1">
        <f t="array" ref="T3">IFERROR(_xlfn._xlws.FILTER(C3,E3="Tractor"),"")</f>
        <v/>
      </c>
      <c r="U3" s="1" t="str" cm="1">
        <f t="array" ref="U3">_xlfn.UNIQUE(T3:T94)</f>
        <v/>
      </c>
      <c r="V3" s="37" t="str" cm="1">
        <f t="array" ref="V3">IFERROR(_xlfn._xlws.FILTER(C3,#REF!="Combine Harvester"),"")</f>
        <v/>
      </c>
      <c r="W3" s="1" t="str" cm="1">
        <f t="array" ref="W3">_xlfn.UNIQUE(V3:V94)</f>
        <v/>
      </c>
      <c r="Y3" s="41" t="s">
        <v>224</v>
      </c>
      <c r="Z3" s="40" t="str">
        <f>_xlfn.XLOOKUP(Y3,$C$3:$C$94,$D$3:$D$94,"")</f>
        <v>Union</v>
      </c>
      <c r="AA3" s="41" t="s">
        <v>315</v>
      </c>
      <c r="AB3" s="40" t="str">
        <f>_xlfn.XLOOKUP(AA3,$C$3:$C$94,$D$3:$D$94,"")</f>
        <v>Union</v>
      </c>
    </row>
    <row r="4" spans="1:28" ht="29" hidden="1">
      <c r="A4" s="52">
        <v>2</v>
      </c>
      <c r="B4" s="55" t="s">
        <v>23</v>
      </c>
      <c r="C4" s="58" t="s">
        <v>113</v>
      </c>
      <c r="D4" s="55" t="s">
        <v>236</v>
      </c>
      <c r="E4" s="55" t="s">
        <v>350</v>
      </c>
      <c r="F4" s="55" t="s">
        <v>114</v>
      </c>
      <c r="G4" s="55" t="s">
        <v>300</v>
      </c>
      <c r="H4" s="58" t="s">
        <v>113</v>
      </c>
      <c r="I4" s="55">
        <v>776365447</v>
      </c>
      <c r="J4" s="49" t="s">
        <v>9</v>
      </c>
      <c r="K4" s="49" t="s">
        <v>356</v>
      </c>
      <c r="L4" s="49"/>
      <c r="M4" s="49" t="s">
        <v>277</v>
      </c>
      <c r="N4" s="49">
        <v>2019</v>
      </c>
      <c r="O4" s="49">
        <v>100</v>
      </c>
      <c r="P4" s="49" t="s">
        <v>10</v>
      </c>
      <c r="Q4" s="49" t="s">
        <v>277</v>
      </c>
      <c r="R4" s="49">
        <v>2019</v>
      </c>
      <c r="T4" s="37" t="str" cm="1">
        <f t="array" ref="T4">IFERROR(_xlfn._xlws.FILTER(C4,E4="Tractor"),"")</f>
        <v/>
      </c>
      <c r="V4" s="37" t="str" cm="1">
        <f t="array" ref="V4">IFERROR(_xlfn._xlws.FILTER(C4,#REF!="Combine Harvester"),"")</f>
        <v/>
      </c>
      <c r="Y4" s="41" t="s">
        <v>313</v>
      </c>
      <c r="Z4" s="40" t="str">
        <f t="shared" ref="Z4:Z67" si="0">_xlfn.XLOOKUP(Y4,$C$3:$C$94,$D$3:$D$94,"")</f>
        <v>Union</v>
      </c>
      <c r="AA4" s="41" t="s">
        <v>320</v>
      </c>
      <c r="AB4" s="40" t="str">
        <f t="shared" ref="AB4:AB10" si="1">_xlfn.XLOOKUP(AA4,$C$3:$C$94,$D$3:$D$94,"")</f>
        <v>Private</v>
      </c>
    </row>
    <row r="5" spans="1:28" ht="29" hidden="1">
      <c r="A5" s="52">
        <v>3</v>
      </c>
      <c r="B5" s="55" t="s">
        <v>14</v>
      </c>
      <c r="C5" s="58" t="s">
        <v>11</v>
      </c>
      <c r="D5" s="55" t="s">
        <v>235</v>
      </c>
      <c r="E5" s="55" t="s">
        <v>350</v>
      </c>
      <c r="F5" s="55" t="s">
        <v>12</v>
      </c>
      <c r="G5" s="63" t="s">
        <v>5</v>
      </c>
      <c r="H5" s="58" t="s">
        <v>11</v>
      </c>
      <c r="I5" s="55">
        <v>776143821</v>
      </c>
      <c r="J5" s="49" t="s">
        <v>9</v>
      </c>
      <c r="K5" s="49" t="s">
        <v>356</v>
      </c>
      <c r="L5" s="49"/>
      <c r="M5" s="49" t="s">
        <v>277</v>
      </c>
      <c r="N5" s="49">
        <v>2019</v>
      </c>
      <c r="O5" s="49">
        <v>100</v>
      </c>
      <c r="P5" s="49" t="s">
        <v>10</v>
      </c>
      <c r="Q5" s="49" t="s">
        <v>277</v>
      </c>
      <c r="R5" s="49">
        <v>2019</v>
      </c>
      <c r="T5" s="37" t="str" cm="1">
        <f t="array" ref="T5">IFERROR(_xlfn._xlws.FILTER(C5,E5="Tractor"),"")</f>
        <v/>
      </c>
      <c r="V5" s="37" t="str" cm="1">
        <f t="array" ref="V5">IFERROR(_xlfn._xlws.FILTER(C5,#REF!="Combine Harvester"),"")</f>
        <v/>
      </c>
      <c r="Y5" s="41" t="s">
        <v>95</v>
      </c>
      <c r="Z5" s="40" t="str">
        <f t="shared" si="0"/>
        <v>Private</v>
      </c>
      <c r="AA5" s="41" t="s">
        <v>180</v>
      </c>
      <c r="AB5" s="40" t="str">
        <f t="shared" si="1"/>
        <v>Union</v>
      </c>
    </row>
    <row r="6" spans="1:28" ht="18" hidden="1" customHeight="1">
      <c r="A6" s="52">
        <v>4</v>
      </c>
      <c r="B6" s="55" t="s">
        <v>3</v>
      </c>
      <c r="C6" s="56" t="s">
        <v>115</v>
      </c>
      <c r="D6" s="55" t="s">
        <v>236</v>
      </c>
      <c r="E6" s="55" t="s">
        <v>350</v>
      </c>
      <c r="F6" s="57" t="s">
        <v>114</v>
      </c>
      <c r="G6" s="55" t="s">
        <v>300</v>
      </c>
      <c r="H6" s="58" t="s">
        <v>116</v>
      </c>
      <c r="I6" s="55">
        <v>774077602</v>
      </c>
      <c r="J6" s="49" t="s">
        <v>29</v>
      </c>
      <c r="K6" s="49" t="s">
        <v>364</v>
      </c>
      <c r="L6" s="49"/>
      <c r="M6" s="49" t="s">
        <v>277</v>
      </c>
      <c r="N6" s="49">
        <v>2015</v>
      </c>
      <c r="O6" s="49" t="s">
        <v>30</v>
      </c>
      <c r="P6" s="49" t="s">
        <v>10</v>
      </c>
      <c r="Q6" s="49" t="s">
        <v>277</v>
      </c>
      <c r="R6" s="49">
        <v>2015</v>
      </c>
      <c r="T6" s="37" t="str" cm="1">
        <f t="array" ref="T6">IFERROR(_xlfn._xlws.FILTER(C6,E6="Tractor"),"")</f>
        <v/>
      </c>
      <c r="V6" s="37" t="str" cm="1">
        <f t="array" ref="V6">IFERROR(_xlfn._xlws.FILTER(C6,#REF!="Combine Harvester"),"")</f>
        <v/>
      </c>
      <c r="Y6" s="41" t="s">
        <v>231</v>
      </c>
      <c r="Z6" s="40" t="str">
        <f t="shared" si="0"/>
        <v>Private</v>
      </c>
      <c r="AA6" s="41" t="s">
        <v>193</v>
      </c>
      <c r="AB6" s="40" t="str">
        <f t="shared" si="1"/>
        <v>Private</v>
      </c>
    </row>
    <row r="7" spans="1:28" ht="14.25" hidden="1" customHeight="1">
      <c r="A7" s="52">
        <v>5</v>
      </c>
      <c r="B7" s="55" t="s">
        <v>14</v>
      </c>
      <c r="C7" s="58" t="s">
        <v>13</v>
      </c>
      <c r="D7" s="55" t="s">
        <v>235</v>
      </c>
      <c r="E7" s="55" t="s">
        <v>350</v>
      </c>
      <c r="F7" s="55" t="s">
        <v>14</v>
      </c>
      <c r="G7" s="63" t="s">
        <v>5</v>
      </c>
      <c r="H7" s="58" t="s">
        <v>13</v>
      </c>
      <c r="I7" s="55" t="s">
        <v>15</v>
      </c>
      <c r="J7" s="49" t="s">
        <v>9</v>
      </c>
      <c r="K7" s="49" t="s">
        <v>356</v>
      </c>
      <c r="L7" s="49"/>
      <c r="M7" s="49" t="s">
        <v>277</v>
      </c>
      <c r="N7" s="49">
        <v>2019</v>
      </c>
      <c r="O7" s="49">
        <v>100</v>
      </c>
      <c r="P7" s="49" t="s">
        <v>10</v>
      </c>
      <c r="Q7" s="49" t="s">
        <v>277</v>
      </c>
      <c r="R7" s="49">
        <v>2019</v>
      </c>
      <c r="T7" s="37" t="str" cm="1">
        <f t="array" ref="T7">IFERROR(_xlfn._xlws.FILTER(C7,E7="Tractor"),"")</f>
        <v/>
      </c>
      <c r="V7" s="37" t="str" cm="1">
        <f t="array" ref="V7">IFERROR(_xlfn._xlws.FILTER(C7,#REF!="Combine Harvester"),"")</f>
        <v/>
      </c>
      <c r="Y7" s="41" t="s">
        <v>99</v>
      </c>
      <c r="Z7" s="40" t="str">
        <f t="shared" si="0"/>
        <v>Private</v>
      </c>
      <c r="AA7" s="41" t="s">
        <v>332</v>
      </c>
      <c r="AB7" s="40" t="str">
        <f t="shared" si="1"/>
        <v>Union</v>
      </c>
    </row>
    <row r="8" spans="1:28" ht="17.25" hidden="1" customHeight="1">
      <c r="A8" s="52">
        <v>6</v>
      </c>
      <c r="B8" s="55" t="s">
        <v>3</v>
      </c>
      <c r="C8" s="56" t="s">
        <v>117</v>
      </c>
      <c r="D8" s="55" t="s">
        <v>236</v>
      </c>
      <c r="E8" s="55" t="s">
        <v>350</v>
      </c>
      <c r="F8" s="57" t="s">
        <v>114</v>
      </c>
      <c r="G8" s="55" t="s">
        <v>300</v>
      </c>
      <c r="H8" s="58" t="s">
        <v>118</v>
      </c>
      <c r="I8" s="58" t="s">
        <v>119</v>
      </c>
      <c r="J8" s="49" t="s">
        <v>29</v>
      </c>
      <c r="K8" s="49" t="s">
        <v>365</v>
      </c>
      <c r="L8" s="49"/>
      <c r="M8" s="49" t="s">
        <v>277</v>
      </c>
      <c r="N8" s="49">
        <v>2015</v>
      </c>
      <c r="O8" s="49" t="s">
        <v>30</v>
      </c>
      <c r="P8" s="49" t="s">
        <v>10</v>
      </c>
      <c r="Q8" s="49" t="s">
        <v>277</v>
      </c>
      <c r="R8" s="49">
        <v>2015</v>
      </c>
      <c r="T8" s="37" t="str" cm="1">
        <f t="array" ref="T8">IFERROR(_xlfn._xlws.FILTER(C8,E8="Tractor"),"")</f>
        <v/>
      </c>
      <c r="V8" s="37" t="str" cm="1">
        <f t="array" ref="V8">IFERROR(_xlfn._xlws.FILTER(C8,#REF!="Combine Harvester"),"")</f>
        <v/>
      </c>
      <c r="Y8" s="41" t="s">
        <v>314</v>
      </c>
      <c r="Z8" s="40" t="str">
        <f t="shared" si="0"/>
        <v>Union</v>
      </c>
      <c r="AA8" s="41" t="s">
        <v>191</v>
      </c>
      <c r="AB8" s="40" t="str">
        <f t="shared" si="1"/>
        <v>Private</v>
      </c>
    </row>
    <row r="9" spans="1:28" ht="17.25" hidden="1" customHeight="1">
      <c r="A9" s="52">
        <v>7</v>
      </c>
      <c r="B9" s="55" t="s">
        <v>14</v>
      </c>
      <c r="C9" s="56" t="s">
        <v>16</v>
      </c>
      <c r="D9" s="56" t="s">
        <v>235</v>
      </c>
      <c r="E9" s="55" t="s">
        <v>350</v>
      </c>
      <c r="F9" s="57" t="s">
        <v>17</v>
      </c>
      <c r="G9" s="13" t="s">
        <v>303</v>
      </c>
      <c r="H9" s="58" t="s">
        <v>18</v>
      </c>
      <c r="I9" s="55" t="s">
        <v>19</v>
      </c>
      <c r="J9" s="49" t="s">
        <v>22</v>
      </c>
      <c r="K9" s="49">
        <v>6125</v>
      </c>
      <c r="L9" s="49" t="s">
        <v>361</v>
      </c>
      <c r="M9" s="49" t="s">
        <v>277</v>
      </c>
      <c r="N9" s="49">
        <v>2016</v>
      </c>
      <c r="O9" s="49">
        <v>125</v>
      </c>
      <c r="P9" s="49" t="s">
        <v>10</v>
      </c>
      <c r="Q9" s="49" t="s">
        <v>277</v>
      </c>
      <c r="R9" s="49">
        <v>2016</v>
      </c>
      <c r="T9" s="37" t="str" cm="1">
        <f t="array" ref="T9">IFERROR(_xlfn._xlws.FILTER(C9,E9="Tractor"),"")</f>
        <v/>
      </c>
      <c r="V9" s="37" t="str" cm="1">
        <f t="array" ref="V9">IFERROR(_xlfn._xlws.FILTER(C9,#REF!="Combine Harvester"),"")</f>
        <v/>
      </c>
      <c r="Y9" s="41" t="s">
        <v>315</v>
      </c>
      <c r="Z9" s="40" t="str">
        <f t="shared" si="0"/>
        <v>Union</v>
      </c>
      <c r="AA9" s="41" t="s">
        <v>342</v>
      </c>
      <c r="AB9" s="40" t="str">
        <f t="shared" si="1"/>
        <v>Private</v>
      </c>
    </row>
    <row r="10" spans="1:28" ht="18" hidden="1" customHeight="1">
      <c r="A10" s="52">
        <v>8</v>
      </c>
      <c r="B10" s="55" t="s">
        <v>3</v>
      </c>
      <c r="C10" s="56" t="s">
        <v>120</v>
      </c>
      <c r="D10" s="55" t="s">
        <v>236</v>
      </c>
      <c r="E10" s="55" t="s">
        <v>350</v>
      </c>
      <c r="F10" s="57" t="s">
        <v>114</v>
      </c>
      <c r="G10" s="55" t="s">
        <v>300</v>
      </c>
      <c r="H10" s="58" t="s">
        <v>121</v>
      </c>
      <c r="I10" s="58" t="s">
        <v>122</v>
      </c>
      <c r="J10" s="49" t="s">
        <v>22</v>
      </c>
      <c r="K10" s="49">
        <v>6125</v>
      </c>
      <c r="L10" s="49" t="s">
        <v>361</v>
      </c>
      <c r="M10" s="49" t="s">
        <v>277</v>
      </c>
      <c r="N10" s="49">
        <v>2016</v>
      </c>
      <c r="O10" s="49">
        <v>125</v>
      </c>
      <c r="P10" s="49" t="s">
        <v>10</v>
      </c>
      <c r="Q10" s="49" t="s">
        <v>277</v>
      </c>
      <c r="R10" s="49">
        <v>2016</v>
      </c>
      <c r="T10" s="37" t="str" cm="1">
        <f t="array" ref="T10">IFERROR(_xlfn._xlws.FILTER(C10,E10="Tractor"),"")</f>
        <v/>
      </c>
      <c r="V10" s="37" t="str" cm="1">
        <f t="array" ref="V10">IFERROR(_xlfn._xlws.FILTER(C10,#REF!="Combine Harvester"),"")</f>
        <v/>
      </c>
      <c r="Y10" s="41" t="s">
        <v>33</v>
      </c>
      <c r="Z10" s="40" t="str">
        <f t="shared" si="0"/>
        <v>Private</v>
      </c>
      <c r="AA10" s="41" t="s">
        <v>343</v>
      </c>
      <c r="AB10" s="40" t="str">
        <f t="shared" si="1"/>
        <v>Union</v>
      </c>
    </row>
    <row r="11" spans="1:28" ht="17.25" hidden="1" customHeight="1">
      <c r="A11" s="52">
        <v>9</v>
      </c>
      <c r="B11" s="55" t="s">
        <v>14</v>
      </c>
      <c r="C11" s="58" t="s">
        <v>20</v>
      </c>
      <c r="D11" s="55" t="s">
        <v>235</v>
      </c>
      <c r="E11" s="55" t="s">
        <v>350</v>
      </c>
      <c r="F11" s="55" t="s">
        <v>21</v>
      </c>
      <c r="G11" s="60" t="s">
        <v>302</v>
      </c>
      <c r="H11" s="58" t="s">
        <v>20</v>
      </c>
      <c r="I11" s="55">
        <v>775759153</v>
      </c>
      <c r="J11" s="49" t="s">
        <v>9</v>
      </c>
      <c r="K11" s="49" t="s">
        <v>356</v>
      </c>
      <c r="L11" s="49"/>
      <c r="M11" s="49" t="s">
        <v>277</v>
      </c>
      <c r="N11" s="49">
        <v>2019</v>
      </c>
      <c r="O11" s="49">
        <v>100</v>
      </c>
      <c r="P11" s="49" t="s">
        <v>10</v>
      </c>
      <c r="Q11" s="49" t="s">
        <v>277</v>
      </c>
      <c r="R11" s="49">
        <v>2019</v>
      </c>
      <c r="T11" s="37" t="str" cm="1">
        <f t="array" ref="T11">IFERROR(_xlfn._xlws.FILTER(C11,E11="Tractor"),"")</f>
        <v/>
      </c>
      <c r="V11" s="37" t="str" cm="1">
        <f t="array" ref="V11">IFERROR(_xlfn._xlws.FILTER(C11,#REF!="Combine Harvester"),"")</f>
        <v/>
      </c>
      <c r="Y11" s="41" t="s">
        <v>24</v>
      </c>
      <c r="Z11" s="40" t="str">
        <f t="shared" si="0"/>
        <v>Private</v>
      </c>
      <c r="AA11" s="13"/>
      <c r="AB11" s="13"/>
    </row>
    <row r="12" spans="1:28" ht="18.75" hidden="1" customHeight="1">
      <c r="A12" s="52">
        <v>10</v>
      </c>
      <c r="B12" s="55" t="s">
        <v>23</v>
      </c>
      <c r="C12" s="58" t="s">
        <v>123</v>
      </c>
      <c r="D12" s="55" t="s">
        <v>236</v>
      </c>
      <c r="E12" s="55" t="s">
        <v>350</v>
      </c>
      <c r="F12" s="55" t="s">
        <v>124</v>
      </c>
      <c r="G12" s="55" t="s">
        <v>209</v>
      </c>
      <c r="H12" s="58" t="s">
        <v>123</v>
      </c>
      <c r="I12" s="55">
        <v>77120989</v>
      </c>
      <c r="J12" s="49" t="s">
        <v>9</v>
      </c>
      <c r="K12" s="49" t="s">
        <v>356</v>
      </c>
      <c r="L12" s="49"/>
      <c r="M12" s="49" t="s">
        <v>277</v>
      </c>
      <c r="N12" s="49">
        <v>2019</v>
      </c>
      <c r="O12" s="49">
        <v>100</v>
      </c>
      <c r="P12" s="49" t="s">
        <v>10</v>
      </c>
      <c r="Q12" s="49" t="s">
        <v>277</v>
      </c>
      <c r="R12" s="49">
        <v>2019</v>
      </c>
      <c r="T12" s="37" t="str" cm="1">
        <f t="array" ref="T12">IFERROR(_xlfn._xlws.FILTER(C12,E12="Tractor"),"")</f>
        <v/>
      </c>
      <c r="V12" s="37" t="str" cm="1">
        <f t="array" ref="V12">IFERROR(_xlfn._xlws.FILTER(C12,#REF!="Combine Harvester"),"")</f>
        <v/>
      </c>
      <c r="Y12" s="41" t="s">
        <v>316</v>
      </c>
      <c r="Z12" s="40" t="str">
        <f t="shared" si="0"/>
        <v>Private</v>
      </c>
      <c r="AA12" s="13"/>
      <c r="AB12" s="13"/>
    </row>
    <row r="13" spans="1:28" ht="18" hidden="1" customHeight="1">
      <c r="A13" s="52">
        <v>11</v>
      </c>
      <c r="B13" s="55" t="s">
        <v>14</v>
      </c>
      <c r="C13" s="58" t="s">
        <v>24</v>
      </c>
      <c r="D13" s="55" t="s">
        <v>235</v>
      </c>
      <c r="E13" s="55" t="s">
        <v>350</v>
      </c>
      <c r="F13" s="55" t="s">
        <v>25</v>
      </c>
      <c r="G13" s="60" t="s">
        <v>302</v>
      </c>
      <c r="H13" s="58" t="s">
        <v>24</v>
      </c>
      <c r="I13" s="55">
        <v>776574960</v>
      </c>
      <c r="J13" s="49" t="s">
        <v>9</v>
      </c>
      <c r="K13" s="49" t="s">
        <v>356</v>
      </c>
      <c r="L13" s="49"/>
      <c r="M13" s="49" t="s">
        <v>277</v>
      </c>
      <c r="N13" s="49">
        <v>2019</v>
      </c>
      <c r="O13" s="49">
        <v>100</v>
      </c>
      <c r="P13" s="49" t="s">
        <v>10</v>
      </c>
      <c r="Q13" s="49" t="s">
        <v>277</v>
      </c>
      <c r="R13" s="49">
        <v>2019</v>
      </c>
      <c r="T13" s="37" t="str" cm="1">
        <f t="array" ref="T13">IFERROR(_xlfn._xlws.FILTER(C13,E13="Tractor"),"")</f>
        <v/>
      </c>
      <c r="V13" s="37" t="str" cm="1">
        <f t="array" ref="V13">IFERROR(_xlfn._xlws.FILTER(C13,#REF!="Combine Harvester"),"")</f>
        <v/>
      </c>
      <c r="Y13" s="41" t="s">
        <v>317</v>
      </c>
      <c r="Z13" s="40" t="str">
        <f t="shared" si="0"/>
        <v>Private</v>
      </c>
      <c r="AA13" s="13"/>
      <c r="AB13" s="13"/>
    </row>
    <row r="14" spans="1:28" ht="18" hidden="1" customHeight="1">
      <c r="A14" s="52">
        <v>12</v>
      </c>
      <c r="B14" s="55" t="s">
        <v>3</v>
      </c>
      <c r="C14" s="56" t="s">
        <v>125</v>
      </c>
      <c r="D14" s="55" t="s">
        <v>236</v>
      </c>
      <c r="E14" s="55" t="s">
        <v>350</v>
      </c>
      <c r="F14" s="57" t="s">
        <v>114</v>
      </c>
      <c r="G14" s="55" t="s">
        <v>300</v>
      </c>
      <c r="H14" s="58" t="s">
        <v>126</v>
      </c>
      <c r="I14" s="55" t="s">
        <v>127</v>
      </c>
      <c r="J14" s="49" t="s">
        <v>22</v>
      </c>
      <c r="K14" s="49">
        <v>6125</v>
      </c>
      <c r="L14" s="49" t="s">
        <v>361</v>
      </c>
      <c r="M14" s="49" t="s">
        <v>277</v>
      </c>
      <c r="N14" s="49">
        <v>2016</v>
      </c>
      <c r="O14" s="49">
        <v>125</v>
      </c>
      <c r="P14" s="49" t="s">
        <v>10</v>
      </c>
      <c r="Q14" s="49" t="s">
        <v>277</v>
      </c>
      <c r="R14" s="49">
        <v>2016</v>
      </c>
      <c r="T14" s="37" t="str" cm="1">
        <f t="array" ref="T14">IFERROR(_xlfn._xlws.FILTER(C14,E14="Tractor"),"")</f>
        <v/>
      </c>
      <c r="V14" s="37" t="str" cm="1">
        <f t="array" ref="V14">IFERROR(_xlfn._xlws.FILTER(C14,#REF!="Combine Harvester"),"")</f>
        <v/>
      </c>
      <c r="Y14" s="41" t="s">
        <v>89</v>
      </c>
      <c r="Z14" s="40" t="str">
        <f t="shared" si="0"/>
        <v>Private</v>
      </c>
      <c r="AA14" s="13"/>
      <c r="AB14" s="13"/>
    </row>
    <row r="15" spans="1:28" ht="21.75" hidden="1" customHeight="1">
      <c r="A15" s="52">
        <v>13</v>
      </c>
      <c r="B15" s="55" t="s">
        <v>14</v>
      </c>
      <c r="C15" s="56" t="s">
        <v>26</v>
      </c>
      <c r="D15" s="56" t="s">
        <v>235</v>
      </c>
      <c r="E15" s="55" t="s">
        <v>350</v>
      </c>
      <c r="F15" s="57" t="s">
        <v>25</v>
      </c>
      <c r="G15" s="60" t="s">
        <v>302</v>
      </c>
      <c r="H15" s="58" t="s">
        <v>27</v>
      </c>
      <c r="I15" s="55" t="s">
        <v>28</v>
      </c>
      <c r="J15" s="49" t="s">
        <v>29</v>
      </c>
      <c r="K15" s="49" t="s">
        <v>364</v>
      </c>
      <c r="L15" s="49"/>
      <c r="M15" s="49" t="s">
        <v>277</v>
      </c>
      <c r="N15" s="49">
        <v>2015</v>
      </c>
      <c r="O15" s="49" t="s">
        <v>30</v>
      </c>
      <c r="P15" s="49" t="s">
        <v>10</v>
      </c>
      <c r="Q15" s="49" t="s">
        <v>277</v>
      </c>
      <c r="R15" s="49">
        <v>2015</v>
      </c>
      <c r="T15" s="37" t="str" cm="1">
        <f t="array" ref="T15">IFERROR(_xlfn._xlws.FILTER(C15,E15="Tractor"),"")</f>
        <v/>
      </c>
      <c r="V15" s="37" t="str" cm="1">
        <f t="array" ref="V15">IFERROR(_xlfn._xlws.FILTER(C15,#REF!="Combine Harvester"),"")</f>
        <v/>
      </c>
      <c r="Y15" s="41" t="s">
        <v>20</v>
      </c>
      <c r="Z15" s="40" t="str">
        <f t="shared" si="0"/>
        <v>Private</v>
      </c>
      <c r="AA15" s="13"/>
      <c r="AB15" s="13"/>
    </row>
    <row r="16" spans="1:28" ht="20.25" hidden="1" customHeight="1">
      <c r="A16" s="52">
        <v>14</v>
      </c>
      <c r="B16" s="55" t="s">
        <v>3</v>
      </c>
      <c r="C16" s="56" t="s">
        <v>128</v>
      </c>
      <c r="D16" s="55" t="s">
        <v>236</v>
      </c>
      <c r="E16" s="55" t="s">
        <v>350</v>
      </c>
      <c r="F16" s="57" t="s">
        <v>124</v>
      </c>
      <c r="G16" s="57" t="s">
        <v>209</v>
      </c>
      <c r="H16" s="58" t="s">
        <v>129</v>
      </c>
      <c r="I16" s="55" t="s">
        <v>130</v>
      </c>
      <c r="J16" s="49" t="s">
        <v>22</v>
      </c>
      <c r="K16" s="49">
        <v>6125</v>
      </c>
      <c r="L16" s="49" t="s">
        <v>361</v>
      </c>
      <c r="M16" s="49" t="s">
        <v>277</v>
      </c>
      <c r="N16" s="49">
        <v>2016</v>
      </c>
      <c r="O16" s="49">
        <v>125</v>
      </c>
      <c r="P16" s="49" t="s">
        <v>10</v>
      </c>
      <c r="Q16" s="49" t="s">
        <v>277</v>
      </c>
      <c r="R16" s="49">
        <v>2016</v>
      </c>
      <c r="T16" s="37" t="str" cm="1">
        <f t="array" ref="T16">IFERROR(_xlfn._xlws.FILTER(C16,E16="Tractor"),"")</f>
        <v/>
      </c>
      <c r="V16" s="37" t="str" cm="1">
        <f t="array" ref="V16">IFERROR(_xlfn._xlws.FILTER(C16,#REF!="Combine Harvester"),"")</f>
        <v/>
      </c>
      <c r="Y16" s="41" t="s">
        <v>75</v>
      </c>
      <c r="Z16" s="40" t="str">
        <f t="shared" si="0"/>
        <v>Private</v>
      </c>
      <c r="AA16" s="13"/>
      <c r="AB16" s="13"/>
    </row>
    <row r="17" spans="1:28" ht="17.25" hidden="1" customHeight="1">
      <c r="A17" s="52">
        <v>15</v>
      </c>
      <c r="B17" s="55" t="s">
        <v>14</v>
      </c>
      <c r="C17" s="56" t="s">
        <v>31</v>
      </c>
      <c r="D17" s="56" t="s">
        <v>32</v>
      </c>
      <c r="E17" s="55" t="s">
        <v>350</v>
      </c>
      <c r="F17" s="57" t="s">
        <v>25</v>
      </c>
      <c r="G17" s="60" t="s">
        <v>302</v>
      </c>
      <c r="H17" s="58" t="s">
        <v>33</v>
      </c>
      <c r="I17" s="61" t="s">
        <v>34</v>
      </c>
      <c r="J17" s="49" t="s">
        <v>51</v>
      </c>
      <c r="K17" s="49">
        <v>75</v>
      </c>
      <c r="L17" s="49"/>
      <c r="M17" s="49" t="s">
        <v>277</v>
      </c>
      <c r="N17" s="49" t="s">
        <v>279</v>
      </c>
      <c r="O17" s="49"/>
      <c r="P17" s="49"/>
      <c r="Q17" s="49" t="s">
        <v>278</v>
      </c>
      <c r="R17" s="49"/>
      <c r="T17" s="37" t="str" cm="1">
        <f t="array" ref="T17">IFERROR(_xlfn._xlws.FILTER(C17,E17="Tractor"),"")</f>
        <v/>
      </c>
      <c r="V17" s="37" t="str" cm="1">
        <f t="array" ref="V17">IFERROR(_xlfn._xlws.FILTER(C17,#REF!="Combine Harvester"),"")</f>
        <v/>
      </c>
      <c r="Y17" s="41" t="s">
        <v>100</v>
      </c>
      <c r="Z17" s="40" t="str">
        <f t="shared" si="0"/>
        <v>Private</v>
      </c>
      <c r="AA17" s="13"/>
      <c r="AB17" s="13"/>
    </row>
    <row r="18" spans="1:28" ht="22.5" hidden="1" customHeight="1">
      <c r="A18" s="52">
        <v>16</v>
      </c>
      <c r="B18" s="55" t="s">
        <v>3</v>
      </c>
      <c r="C18" s="56" t="s">
        <v>131</v>
      </c>
      <c r="D18" s="55" t="s">
        <v>236</v>
      </c>
      <c r="E18" s="55" t="s">
        <v>350</v>
      </c>
      <c r="F18" s="57" t="s">
        <v>132</v>
      </c>
      <c r="G18" s="57" t="s">
        <v>298</v>
      </c>
      <c r="H18" s="58" t="s">
        <v>133</v>
      </c>
      <c r="I18" s="55" t="s">
        <v>134</v>
      </c>
      <c r="J18" s="49" t="s">
        <v>22</v>
      </c>
      <c r="K18" s="49">
        <v>6125</v>
      </c>
      <c r="L18" s="49" t="s">
        <v>361</v>
      </c>
      <c r="M18" s="49" t="s">
        <v>277</v>
      </c>
      <c r="N18" s="49">
        <v>2016</v>
      </c>
      <c r="O18" s="49">
        <v>125</v>
      </c>
      <c r="P18" s="49" t="s">
        <v>10</v>
      </c>
      <c r="Q18" s="49" t="s">
        <v>277</v>
      </c>
      <c r="R18" s="49">
        <v>2016</v>
      </c>
      <c r="T18" s="37" t="str" cm="1">
        <f t="array" ref="T18">IFERROR(_xlfn._xlws.FILTER(C18,E18="Tractor"),"")</f>
        <v/>
      </c>
      <c r="V18" s="37" t="str" cm="1">
        <f t="array" ref="V18">IFERROR(_xlfn._xlws.FILTER(C18,#REF!="Combine Harvester"),"")</f>
        <v/>
      </c>
      <c r="Y18" s="41" t="s">
        <v>101</v>
      </c>
      <c r="Z18" s="40" t="str">
        <f t="shared" si="0"/>
        <v>Private</v>
      </c>
      <c r="AA18" s="13"/>
      <c r="AB18" s="13"/>
    </row>
    <row r="19" spans="1:28" ht="20.25" hidden="1" customHeight="1">
      <c r="A19" s="52">
        <v>17</v>
      </c>
      <c r="B19" s="55" t="s">
        <v>14</v>
      </c>
      <c r="C19" s="55" t="s">
        <v>35</v>
      </c>
      <c r="D19" s="56" t="s">
        <v>235</v>
      </c>
      <c r="E19" s="55" t="s">
        <v>350</v>
      </c>
      <c r="F19" s="55" t="s">
        <v>36</v>
      </c>
      <c r="G19" s="13" t="s">
        <v>303</v>
      </c>
      <c r="H19" s="55" t="s">
        <v>37</v>
      </c>
      <c r="I19" s="55" t="s">
        <v>38</v>
      </c>
      <c r="J19" s="49" t="s">
        <v>22</v>
      </c>
      <c r="K19" s="49">
        <v>6125</v>
      </c>
      <c r="L19" s="49" t="s">
        <v>361</v>
      </c>
      <c r="M19" s="49" t="s">
        <v>281</v>
      </c>
      <c r="N19" s="49">
        <v>2008</v>
      </c>
      <c r="O19" s="49">
        <v>125</v>
      </c>
      <c r="P19" s="49" t="s">
        <v>10</v>
      </c>
      <c r="Q19" s="49" t="s">
        <v>277</v>
      </c>
      <c r="R19" s="49">
        <v>2008</v>
      </c>
      <c r="T19" s="37" t="str" cm="1">
        <f t="array" ref="T19">IFERROR(_xlfn._xlws.FILTER(C19,E19="Tractor"),"")</f>
        <v/>
      </c>
      <c r="V19" s="37" t="str" cm="1">
        <f t="array" ref="V19">IFERROR(_xlfn._xlws.FILTER(C19,#REF!="Combine Harvester"),"")</f>
        <v/>
      </c>
      <c r="Y19" s="41" t="s">
        <v>103</v>
      </c>
      <c r="Z19" s="40" t="str">
        <f t="shared" si="0"/>
        <v>Private</v>
      </c>
      <c r="AA19" s="13"/>
      <c r="AB19" s="13"/>
    </row>
    <row r="20" spans="1:28" ht="19.5" hidden="1" customHeight="1">
      <c r="A20" s="52">
        <v>18</v>
      </c>
      <c r="B20" s="55" t="s">
        <v>3</v>
      </c>
      <c r="C20" s="56" t="s">
        <v>135</v>
      </c>
      <c r="D20" s="55" t="s">
        <v>236</v>
      </c>
      <c r="E20" s="55" t="s">
        <v>350</v>
      </c>
      <c r="F20" s="57" t="s">
        <v>114</v>
      </c>
      <c r="G20" s="55" t="s">
        <v>300</v>
      </c>
      <c r="H20" s="58" t="s">
        <v>136</v>
      </c>
      <c r="I20" s="55" t="s">
        <v>137</v>
      </c>
      <c r="J20" s="49" t="s">
        <v>22</v>
      </c>
      <c r="K20" s="49">
        <v>6125</v>
      </c>
      <c r="L20" s="49" t="s">
        <v>361</v>
      </c>
      <c r="M20" s="49" t="s">
        <v>277</v>
      </c>
      <c r="N20" s="49">
        <v>2016</v>
      </c>
      <c r="O20" s="49">
        <v>125</v>
      </c>
      <c r="P20" s="49" t="s">
        <v>10</v>
      </c>
      <c r="Q20" s="49" t="s">
        <v>277</v>
      </c>
      <c r="R20" s="49">
        <v>2016</v>
      </c>
      <c r="T20" s="37" t="str" cm="1">
        <f t="array" ref="T20">IFERROR(_xlfn._xlws.FILTER(C20,E20="Tractor"),"")</f>
        <v/>
      </c>
      <c r="V20" s="37" t="str" cm="1">
        <f t="array" ref="V20">IFERROR(_xlfn._xlws.FILTER(C20,#REF!="Combine Harvester"),"")</f>
        <v/>
      </c>
      <c r="Y20" s="41" t="s">
        <v>228</v>
      </c>
      <c r="Z20" s="40" t="str">
        <f t="shared" si="0"/>
        <v>Private</v>
      </c>
      <c r="AA20" s="13"/>
      <c r="AB20" s="13"/>
    </row>
    <row r="21" spans="1:28" ht="20.25" hidden="1" customHeight="1">
      <c r="A21" s="52">
        <v>19</v>
      </c>
      <c r="B21" s="55" t="s">
        <v>14</v>
      </c>
      <c r="C21" s="55" t="s">
        <v>35</v>
      </c>
      <c r="D21" s="56" t="s">
        <v>235</v>
      </c>
      <c r="E21" s="55" t="s">
        <v>350</v>
      </c>
      <c r="F21" s="55" t="s">
        <v>36</v>
      </c>
      <c r="G21" s="13" t="s">
        <v>303</v>
      </c>
      <c r="H21" s="55" t="s">
        <v>37</v>
      </c>
      <c r="I21" s="55" t="s">
        <v>39</v>
      </c>
      <c r="J21" s="49" t="s">
        <v>22</v>
      </c>
      <c r="K21" s="49">
        <v>6125</v>
      </c>
      <c r="L21" s="49" t="s">
        <v>361</v>
      </c>
      <c r="M21" s="49" t="s">
        <v>281</v>
      </c>
      <c r="N21" s="49">
        <v>2009</v>
      </c>
      <c r="O21" s="49">
        <v>125</v>
      </c>
      <c r="P21" s="49" t="s">
        <v>10</v>
      </c>
      <c r="Q21" s="49" t="s">
        <v>277</v>
      </c>
      <c r="R21" s="49">
        <v>2009</v>
      </c>
      <c r="T21" s="37" t="str" cm="1">
        <f t="array" ref="T21">IFERROR(_xlfn._xlws.FILTER(C21,E21="Tractor"),"")</f>
        <v/>
      </c>
      <c r="V21" s="37" t="str" cm="1">
        <f t="array" ref="V21">IFERROR(_xlfn._xlws.FILTER(C21,#REF!="Combine Harvester"),"")</f>
        <v/>
      </c>
      <c r="Y21" s="41" t="s">
        <v>318</v>
      </c>
      <c r="Z21" s="40" t="str">
        <f t="shared" si="0"/>
        <v>Private</v>
      </c>
      <c r="AA21" s="13"/>
      <c r="AB21" s="13"/>
    </row>
    <row r="22" spans="1:28" ht="15.75" hidden="1" customHeight="1">
      <c r="A22" s="52">
        <v>20</v>
      </c>
      <c r="B22" s="55" t="s">
        <v>3</v>
      </c>
      <c r="C22" s="56" t="s">
        <v>138</v>
      </c>
      <c r="D22" s="55" t="s">
        <v>236</v>
      </c>
      <c r="E22" s="55" t="s">
        <v>350</v>
      </c>
      <c r="F22" s="57" t="s">
        <v>114</v>
      </c>
      <c r="G22" s="55" t="s">
        <v>300</v>
      </c>
      <c r="H22" s="58" t="s">
        <v>139</v>
      </c>
      <c r="I22" s="55" t="s">
        <v>140</v>
      </c>
      <c r="J22" s="49" t="s">
        <v>22</v>
      </c>
      <c r="K22" s="49">
        <v>6125</v>
      </c>
      <c r="L22" s="49" t="s">
        <v>361</v>
      </c>
      <c r="M22" s="49" t="s">
        <v>277</v>
      </c>
      <c r="N22" s="49">
        <v>2016</v>
      </c>
      <c r="O22" s="49">
        <v>125</v>
      </c>
      <c r="P22" s="49" t="s">
        <v>10</v>
      </c>
      <c r="Q22" s="49" t="s">
        <v>277</v>
      </c>
      <c r="R22" s="49">
        <v>2016</v>
      </c>
      <c r="T22" s="37" t="str" cm="1">
        <f t="array" ref="T22">IFERROR(_xlfn._xlws.FILTER(C22,E22="Tractor"),"")</f>
        <v/>
      </c>
      <c r="V22" s="37" t="str" cm="1">
        <f t="array" ref="V22">IFERROR(_xlfn._xlws.FILTER(C22,#REF!="Combine Harvester"),"")</f>
        <v/>
      </c>
      <c r="Y22" s="41" t="s">
        <v>319</v>
      </c>
      <c r="Z22" s="40" t="str">
        <f t="shared" si="0"/>
        <v>Private</v>
      </c>
      <c r="AA22" s="13"/>
      <c r="AB22" s="13"/>
    </row>
    <row r="23" spans="1:28" ht="21.75" hidden="1" customHeight="1">
      <c r="A23" s="52">
        <v>21</v>
      </c>
      <c r="B23" s="55" t="s">
        <v>14</v>
      </c>
      <c r="C23" s="55" t="s">
        <v>35</v>
      </c>
      <c r="D23" s="56" t="s">
        <v>235</v>
      </c>
      <c r="E23" s="55" t="s">
        <v>350</v>
      </c>
      <c r="F23" s="55" t="s">
        <v>36</v>
      </c>
      <c r="G23" s="13" t="s">
        <v>303</v>
      </c>
      <c r="H23" s="55" t="s">
        <v>37</v>
      </c>
      <c r="I23" s="55" t="s">
        <v>40</v>
      </c>
      <c r="J23" s="49" t="s">
        <v>22</v>
      </c>
      <c r="K23" s="49">
        <v>6125</v>
      </c>
      <c r="L23" s="49" t="s">
        <v>361</v>
      </c>
      <c r="M23" s="49" t="s">
        <v>281</v>
      </c>
      <c r="N23" s="49">
        <v>2008</v>
      </c>
      <c r="O23" s="49">
        <v>125</v>
      </c>
      <c r="P23" s="49" t="s">
        <v>10</v>
      </c>
      <c r="Q23" s="49" t="s">
        <v>277</v>
      </c>
      <c r="R23" s="49">
        <v>2008</v>
      </c>
      <c r="T23" s="37" t="str" cm="1">
        <f t="array" ref="T23">IFERROR(_xlfn._xlws.FILTER(C23,E23="Tractor"),"")</f>
        <v/>
      </c>
      <c r="V23" s="37" t="str" cm="1">
        <f t="array" ref="V23">IFERROR(_xlfn._xlws.FILTER(C23,#REF!="Combine Harvester"),"")</f>
        <v/>
      </c>
      <c r="Y23" s="41" t="s">
        <v>320</v>
      </c>
      <c r="Z23" s="40" t="str">
        <f t="shared" si="0"/>
        <v>Private</v>
      </c>
      <c r="AA23" s="13"/>
      <c r="AB23" s="13"/>
    </row>
    <row r="24" spans="1:28" ht="21" hidden="1" customHeight="1">
      <c r="A24" s="52">
        <v>22</v>
      </c>
      <c r="B24" s="55" t="s">
        <v>3</v>
      </c>
      <c r="C24" s="56" t="s">
        <v>141</v>
      </c>
      <c r="D24" s="55" t="s">
        <v>236</v>
      </c>
      <c r="E24" s="55" t="s">
        <v>350</v>
      </c>
      <c r="F24" s="57" t="s">
        <v>306</v>
      </c>
      <c r="G24" s="57" t="s">
        <v>208</v>
      </c>
      <c r="H24" s="58" t="s">
        <v>142</v>
      </c>
      <c r="I24" s="55" t="s">
        <v>143</v>
      </c>
      <c r="J24" s="49" t="s">
        <v>29</v>
      </c>
      <c r="K24" s="49">
        <v>6125</v>
      </c>
      <c r="L24" s="49"/>
      <c r="M24" s="49" t="s">
        <v>277</v>
      </c>
      <c r="N24" s="49">
        <v>2015</v>
      </c>
      <c r="O24" s="49" t="s">
        <v>30</v>
      </c>
      <c r="P24" s="49" t="s">
        <v>10</v>
      </c>
      <c r="Q24" s="49" t="s">
        <v>277</v>
      </c>
      <c r="R24" s="49">
        <v>2015</v>
      </c>
      <c r="T24" s="37" t="str" cm="1">
        <f t="array" ref="T24">IFERROR(_xlfn._xlws.FILTER(C24,E24="Tractor"),"")</f>
        <v/>
      </c>
      <c r="V24" s="37" t="str" cm="1">
        <f t="array" ref="V24">IFERROR(_xlfn._xlws.FILTER(C24,#REF!="Combine Harvester"),"")</f>
        <v/>
      </c>
      <c r="Y24" s="41" t="s">
        <v>321</v>
      </c>
      <c r="Z24" s="40" t="str">
        <f t="shared" si="0"/>
        <v>Private</v>
      </c>
      <c r="AA24" s="13"/>
      <c r="AB24" s="13"/>
    </row>
    <row r="25" spans="1:28" ht="21.75" hidden="1" customHeight="1">
      <c r="A25" s="52">
        <v>23</v>
      </c>
      <c r="B25" s="55" t="s">
        <v>14</v>
      </c>
      <c r="C25" s="55" t="s">
        <v>35</v>
      </c>
      <c r="D25" s="56" t="s">
        <v>235</v>
      </c>
      <c r="E25" s="55" t="s">
        <v>350</v>
      </c>
      <c r="F25" s="55" t="s">
        <v>36</v>
      </c>
      <c r="G25" s="13" t="s">
        <v>303</v>
      </c>
      <c r="H25" s="55" t="s">
        <v>37</v>
      </c>
      <c r="I25" s="55" t="s">
        <v>41</v>
      </c>
      <c r="J25" s="49" t="s">
        <v>22</v>
      </c>
      <c r="K25" s="49">
        <v>5410</v>
      </c>
      <c r="L25" s="49"/>
      <c r="M25" s="49" t="s">
        <v>281</v>
      </c>
      <c r="N25" s="49">
        <v>2010</v>
      </c>
      <c r="O25" s="49">
        <v>125</v>
      </c>
      <c r="P25" s="49" t="s">
        <v>10</v>
      </c>
      <c r="Q25" s="49" t="s">
        <v>277</v>
      </c>
      <c r="R25" s="49">
        <v>2010</v>
      </c>
      <c r="T25" s="37" t="str" cm="1">
        <f t="array" ref="T25">IFERROR(_xlfn._xlws.FILTER(C25,E25="Tractor"),"")</f>
        <v/>
      </c>
      <c r="V25" s="37" t="str" cm="1">
        <f t="array" ref="V25">IFERROR(_xlfn._xlws.FILTER(C25,#REF!="Combine Harvester"),"")</f>
        <v/>
      </c>
      <c r="Y25" s="41" t="s">
        <v>58</v>
      </c>
      <c r="Z25" s="40" t="str">
        <f t="shared" si="0"/>
        <v>Private</v>
      </c>
      <c r="AA25" s="13"/>
      <c r="AB25" s="13"/>
    </row>
    <row r="26" spans="1:28" hidden="1">
      <c r="A26" s="52">
        <v>24</v>
      </c>
      <c r="B26" s="55" t="s">
        <v>3</v>
      </c>
      <c r="C26" s="56" t="s">
        <v>141</v>
      </c>
      <c r="D26" s="55" t="s">
        <v>236</v>
      </c>
      <c r="E26" s="55" t="s">
        <v>350</v>
      </c>
      <c r="F26" s="57" t="s">
        <v>306</v>
      </c>
      <c r="G26" s="57" t="s">
        <v>208</v>
      </c>
      <c r="H26" s="58" t="s">
        <v>142</v>
      </c>
      <c r="I26" s="55" t="s">
        <v>144</v>
      </c>
      <c r="J26" s="49" t="s">
        <v>22</v>
      </c>
      <c r="K26" s="49">
        <v>6125</v>
      </c>
      <c r="L26" s="49" t="s">
        <v>361</v>
      </c>
      <c r="M26" s="49" t="s">
        <v>277</v>
      </c>
      <c r="N26" s="49">
        <v>2016</v>
      </c>
      <c r="O26" s="49">
        <v>125</v>
      </c>
      <c r="P26" s="49" t="s">
        <v>10</v>
      </c>
      <c r="Q26" s="49" t="s">
        <v>277</v>
      </c>
      <c r="R26" s="49">
        <v>2016</v>
      </c>
      <c r="T26" s="37" t="str" cm="1">
        <f t="array" ref="T26">IFERROR(_xlfn._xlws.FILTER(C26,E26="Tractor"),"")</f>
        <v/>
      </c>
      <c r="V26" s="37" t="str" cm="1">
        <f t="array" ref="V26">IFERROR(_xlfn._xlws.FILTER(C26,#REF!="Combine Harvester"),"")</f>
        <v/>
      </c>
      <c r="Y26" s="41" t="s">
        <v>67</v>
      </c>
      <c r="Z26" s="40" t="str">
        <f t="shared" si="0"/>
        <v>Private</v>
      </c>
      <c r="AA26" s="13"/>
      <c r="AB26" s="13"/>
    </row>
    <row r="27" spans="1:28" hidden="1">
      <c r="A27" s="52">
        <v>25</v>
      </c>
      <c r="B27" s="55" t="s">
        <v>14</v>
      </c>
      <c r="C27" s="55" t="s">
        <v>35</v>
      </c>
      <c r="D27" s="56" t="s">
        <v>235</v>
      </c>
      <c r="E27" s="55" t="s">
        <v>350</v>
      </c>
      <c r="F27" s="55" t="s">
        <v>36</v>
      </c>
      <c r="G27" s="13" t="s">
        <v>303</v>
      </c>
      <c r="H27" s="55" t="s">
        <v>37</v>
      </c>
      <c r="I27" s="55" t="s">
        <v>42</v>
      </c>
      <c r="J27" s="49" t="s">
        <v>22</v>
      </c>
      <c r="K27" s="49">
        <v>5205</v>
      </c>
      <c r="L27" s="49"/>
      <c r="M27" s="49" t="s">
        <v>281</v>
      </c>
      <c r="N27" s="49">
        <v>2008</v>
      </c>
      <c r="O27" s="49">
        <v>125</v>
      </c>
      <c r="P27" s="49" t="s">
        <v>10</v>
      </c>
      <c r="Q27" s="49" t="s">
        <v>277</v>
      </c>
      <c r="R27" s="49">
        <v>2008</v>
      </c>
      <c r="T27" s="37" t="str" cm="1">
        <f t="array" ref="T27">IFERROR(_xlfn._xlws.FILTER(C27,E27="Tractor"),"")</f>
        <v/>
      </c>
      <c r="V27" s="37" t="str" cm="1">
        <f t="array" ref="V27">IFERROR(_xlfn._xlws.FILTER(C27,#REF!="Combine Harvester"),"")</f>
        <v/>
      </c>
      <c r="Y27" s="41" t="s">
        <v>84</v>
      </c>
      <c r="Z27" s="40" t="str">
        <f t="shared" si="0"/>
        <v>Private</v>
      </c>
      <c r="AA27" s="13"/>
      <c r="AB27" s="13"/>
    </row>
    <row r="28" spans="1:28" hidden="1">
      <c r="A28" s="52">
        <v>26</v>
      </c>
      <c r="B28" s="55" t="s">
        <v>3</v>
      </c>
      <c r="C28" s="56" t="s">
        <v>145</v>
      </c>
      <c r="D28" s="55" t="s">
        <v>236</v>
      </c>
      <c r="E28" s="55" t="s">
        <v>350</v>
      </c>
      <c r="F28" s="57" t="s">
        <v>114</v>
      </c>
      <c r="G28" s="55" t="s">
        <v>300</v>
      </c>
      <c r="H28" s="58" t="s">
        <v>146</v>
      </c>
      <c r="I28" s="55" t="s">
        <v>147</v>
      </c>
      <c r="J28" s="49" t="s">
        <v>22</v>
      </c>
      <c r="K28" s="49">
        <v>6125</v>
      </c>
      <c r="L28" s="49" t="s">
        <v>361</v>
      </c>
      <c r="M28" s="49" t="s">
        <v>277</v>
      </c>
      <c r="N28" s="49">
        <v>2016</v>
      </c>
      <c r="O28" s="49">
        <v>125</v>
      </c>
      <c r="P28" s="49" t="s">
        <v>10</v>
      </c>
      <c r="Q28" s="49" t="s">
        <v>277</v>
      </c>
      <c r="R28" s="49">
        <v>2016</v>
      </c>
      <c r="T28" s="37" t="str" cm="1">
        <f t="array" ref="T28">IFERROR(_xlfn._xlws.FILTER(C28,E28="Tractor"),"")</f>
        <v/>
      </c>
      <c r="V28" s="37" t="str" cm="1">
        <f t="array" ref="V28">IFERROR(_xlfn._xlws.FILTER(C28,#REF!="Combine Harvester"),"")</f>
        <v/>
      </c>
      <c r="Y28" s="41" t="s">
        <v>322</v>
      </c>
      <c r="Z28" s="40" t="str">
        <f t="shared" si="0"/>
        <v>Union</v>
      </c>
      <c r="AA28" s="13"/>
      <c r="AB28" s="13"/>
    </row>
    <row r="29" spans="1:28" hidden="1">
      <c r="A29" s="52">
        <v>27</v>
      </c>
      <c r="B29" s="55" t="s">
        <v>14</v>
      </c>
      <c r="C29" s="55" t="s">
        <v>35</v>
      </c>
      <c r="D29" s="56" t="s">
        <v>235</v>
      </c>
      <c r="E29" s="55" t="s">
        <v>350</v>
      </c>
      <c r="F29" s="55" t="s">
        <v>36</v>
      </c>
      <c r="G29" s="13" t="s">
        <v>303</v>
      </c>
      <c r="H29" s="55" t="s">
        <v>37</v>
      </c>
      <c r="I29" s="55" t="s">
        <v>43</v>
      </c>
      <c r="J29" s="49" t="s">
        <v>22</v>
      </c>
      <c r="K29" s="49">
        <v>4440</v>
      </c>
      <c r="L29" s="49"/>
      <c r="M29" s="49" t="s">
        <v>281</v>
      </c>
      <c r="N29" s="49">
        <v>2009</v>
      </c>
      <c r="O29" s="49">
        <v>125</v>
      </c>
      <c r="P29" s="49" t="s">
        <v>10</v>
      </c>
      <c r="Q29" s="49" t="s">
        <v>277</v>
      </c>
      <c r="R29" s="49">
        <v>2009</v>
      </c>
      <c r="T29" s="37" t="str" cm="1">
        <f t="array" ref="T29">IFERROR(_xlfn._xlws.FILTER(C29,E29="Tractor"),"")</f>
        <v/>
      </c>
      <c r="V29" s="37" t="str" cm="1">
        <f t="array" ref="V29">IFERROR(_xlfn._xlws.FILTER(C29,#REF!="Combine Harvester"),"")</f>
        <v/>
      </c>
      <c r="Y29" s="41" t="s">
        <v>91</v>
      </c>
      <c r="Z29" s="40" t="str">
        <f t="shared" si="0"/>
        <v>Private</v>
      </c>
      <c r="AA29" s="13"/>
      <c r="AB29" s="13"/>
    </row>
    <row r="30" spans="1:28" hidden="1">
      <c r="A30" s="52">
        <v>28</v>
      </c>
      <c r="B30" s="55" t="s">
        <v>3</v>
      </c>
      <c r="C30" s="56" t="s">
        <v>148</v>
      </c>
      <c r="D30" s="55" t="s">
        <v>236</v>
      </c>
      <c r="E30" s="55" t="s">
        <v>350</v>
      </c>
      <c r="F30" s="57" t="s">
        <v>114</v>
      </c>
      <c r="G30" s="55" t="s">
        <v>300</v>
      </c>
      <c r="H30" s="58" t="s">
        <v>149</v>
      </c>
      <c r="I30" s="55" t="s">
        <v>150</v>
      </c>
      <c r="J30" s="49" t="s">
        <v>22</v>
      </c>
      <c r="K30" s="49">
        <v>6125</v>
      </c>
      <c r="L30" s="49"/>
      <c r="M30" s="49" t="s">
        <v>277</v>
      </c>
      <c r="N30" s="49">
        <v>2016</v>
      </c>
      <c r="O30" s="49">
        <v>125</v>
      </c>
      <c r="P30" s="49" t="s">
        <v>10</v>
      </c>
      <c r="Q30" s="49" t="s">
        <v>277</v>
      </c>
      <c r="R30" s="49">
        <v>2016</v>
      </c>
      <c r="T30" s="37" t="str" cm="1">
        <f t="array" ref="T30">IFERROR(_xlfn._xlws.FILTER(C30,E30="Tractor"),"")</f>
        <v/>
      </c>
      <c r="V30" s="37" t="str" cm="1">
        <f t="array" ref="V30">IFERROR(_xlfn._xlws.FILTER(C30,#REF!="Combine Harvester"),"")</f>
        <v/>
      </c>
      <c r="Y30" s="41" t="s">
        <v>94</v>
      </c>
      <c r="Z30" s="40" t="str">
        <f t="shared" si="0"/>
        <v>Private</v>
      </c>
      <c r="AA30" s="13"/>
      <c r="AB30" s="13"/>
    </row>
    <row r="31" spans="1:28" hidden="1">
      <c r="A31" s="52">
        <v>29</v>
      </c>
      <c r="B31" s="55" t="s">
        <v>14</v>
      </c>
      <c r="C31" s="55" t="s">
        <v>35</v>
      </c>
      <c r="D31" s="56" t="s">
        <v>235</v>
      </c>
      <c r="E31" s="55" t="s">
        <v>350</v>
      </c>
      <c r="F31" s="55" t="s">
        <v>36</v>
      </c>
      <c r="G31" s="13" t="s">
        <v>303</v>
      </c>
      <c r="H31" s="55" t="s">
        <v>37</v>
      </c>
      <c r="I31" s="55" t="s">
        <v>44</v>
      </c>
      <c r="J31" s="49" t="s">
        <v>22</v>
      </c>
      <c r="K31" s="49" t="s">
        <v>360</v>
      </c>
      <c r="L31" s="49"/>
      <c r="M31" s="49" t="s">
        <v>277</v>
      </c>
      <c r="N31" s="49">
        <v>2010</v>
      </c>
      <c r="O31" s="49" t="s">
        <v>30</v>
      </c>
      <c r="P31" s="49" t="s">
        <v>10</v>
      </c>
      <c r="Q31" s="49" t="s">
        <v>277</v>
      </c>
      <c r="R31" s="49">
        <v>2010</v>
      </c>
      <c r="T31" s="37" t="str" cm="1">
        <f t="array" ref="T31">IFERROR(_xlfn._xlws.FILTER(C31,E31="Tractor"),"")</f>
        <v/>
      </c>
      <c r="V31" s="37" t="str" cm="1">
        <f t="array" ref="V31">IFERROR(_xlfn._xlws.FILTER(C31,#REF!="Combine Harvester"),"")</f>
        <v/>
      </c>
      <c r="Y31" s="41" t="s">
        <v>214</v>
      </c>
      <c r="Z31" s="40" t="str">
        <f t="shared" si="0"/>
        <v>Private</v>
      </c>
      <c r="AA31" s="13"/>
      <c r="AB31" s="13"/>
    </row>
    <row r="32" spans="1:28" ht="29" hidden="1">
      <c r="A32" s="52">
        <v>30</v>
      </c>
      <c r="B32" s="55" t="s">
        <v>3</v>
      </c>
      <c r="C32" s="56" t="s">
        <v>148</v>
      </c>
      <c r="D32" s="55" t="s">
        <v>236</v>
      </c>
      <c r="E32" s="55" t="s">
        <v>350</v>
      </c>
      <c r="F32" s="57" t="s">
        <v>114</v>
      </c>
      <c r="G32" s="55" t="s">
        <v>300</v>
      </c>
      <c r="H32" s="58" t="s">
        <v>149</v>
      </c>
      <c r="I32" s="55" t="s">
        <v>151</v>
      </c>
      <c r="J32" s="49" t="s">
        <v>9</v>
      </c>
      <c r="K32" s="49" t="s">
        <v>356</v>
      </c>
      <c r="L32" s="49"/>
      <c r="M32" s="49" t="s">
        <v>277</v>
      </c>
      <c r="N32" s="49">
        <v>2017</v>
      </c>
      <c r="O32" s="49">
        <v>115</v>
      </c>
      <c r="P32" s="49" t="s">
        <v>10</v>
      </c>
      <c r="Q32" s="49" t="s">
        <v>277</v>
      </c>
      <c r="R32" s="49">
        <v>2017</v>
      </c>
      <c r="T32" s="37" t="str" cm="1">
        <f t="array" ref="T32">IFERROR(_xlfn._xlws.FILTER(C32,E32="Tractor"),"")</f>
        <v/>
      </c>
      <c r="V32" s="37" t="str" cm="1">
        <f t="array" ref="V32">IFERROR(_xlfn._xlws.FILTER(C32,#REF!="Combine Harvester"),"")</f>
        <v/>
      </c>
      <c r="Y32" s="41" t="s">
        <v>323</v>
      </c>
      <c r="Z32" s="40" t="str">
        <f t="shared" si="0"/>
        <v>Private</v>
      </c>
      <c r="AA32" s="13"/>
      <c r="AB32" s="13"/>
    </row>
    <row r="33" spans="1:28" hidden="1">
      <c r="A33" s="52">
        <v>31</v>
      </c>
      <c r="B33" s="55" t="s">
        <v>14</v>
      </c>
      <c r="C33" s="55" t="s">
        <v>35</v>
      </c>
      <c r="D33" s="56" t="s">
        <v>235</v>
      </c>
      <c r="E33" s="55" t="s">
        <v>350</v>
      </c>
      <c r="F33" s="55" t="s">
        <v>36</v>
      </c>
      <c r="G33" s="13" t="s">
        <v>303</v>
      </c>
      <c r="H33" s="55" t="s">
        <v>37</v>
      </c>
      <c r="I33" s="55" t="s">
        <v>45</v>
      </c>
      <c r="J33" s="49" t="s">
        <v>22</v>
      </c>
      <c r="K33" s="49">
        <v>5410</v>
      </c>
      <c r="L33" s="49"/>
      <c r="M33" s="49" t="s">
        <v>277</v>
      </c>
      <c r="N33" s="49">
        <v>2010</v>
      </c>
      <c r="O33" s="49" t="s">
        <v>30</v>
      </c>
      <c r="P33" s="49" t="s">
        <v>10</v>
      </c>
      <c r="Q33" s="49" t="s">
        <v>277</v>
      </c>
      <c r="R33" s="49">
        <v>2010</v>
      </c>
      <c r="T33" s="37" t="str" cm="1">
        <f t="array" ref="T33">IFERROR(_xlfn._xlws.FILTER(C33,E33="Tractor"),"")</f>
        <v/>
      </c>
      <c r="V33" s="37" t="str" cm="1">
        <f t="array" ref="V33">IFERROR(_xlfn._xlws.FILTER(C33,#REF!="Combine Harvester"),"")</f>
        <v/>
      </c>
      <c r="Y33" s="41" t="s">
        <v>324</v>
      </c>
      <c r="Z33" s="40" t="str">
        <f t="shared" si="0"/>
        <v>Private</v>
      </c>
      <c r="AA33" s="13"/>
      <c r="AB33" s="13"/>
    </row>
    <row r="34" spans="1:28" hidden="1">
      <c r="A34" s="52">
        <v>32</v>
      </c>
      <c r="B34" s="55" t="s">
        <v>3</v>
      </c>
      <c r="C34" s="56" t="s">
        <v>153</v>
      </c>
      <c r="D34" s="55" t="s">
        <v>236</v>
      </c>
      <c r="E34" s="55" t="s">
        <v>350</v>
      </c>
      <c r="F34" s="57" t="s">
        <v>154</v>
      </c>
      <c r="G34" s="57" t="s">
        <v>297</v>
      </c>
      <c r="H34" s="58" t="s">
        <v>155</v>
      </c>
      <c r="I34" s="55" t="s">
        <v>156</v>
      </c>
      <c r="J34" s="49" t="s">
        <v>22</v>
      </c>
      <c r="K34" s="49">
        <v>6125</v>
      </c>
      <c r="L34" s="49"/>
      <c r="M34" s="49" t="s">
        <v>277</v>
      </c>
      <c r="N34" s="49">
        <v>2016</v>
      </c>
      <c r="O34" s="49">
        <v>125</v>
      </c>
      <c r="P34" s="49" t="s">
        <v>10</v>
      </c>
      <c r="Q34" s="49" t="s">
        <v>277</v>
      </c>
      <c r="R34" s="49">
        <v>2016</v>
      </c>
      <c r="T34" s="37" t="str" cm="1">
        <f t="array" ref="T34">IFERROR(_xlfn._xlws.FILTER(C34,E34="Tractor"),"")</f>
        <v/>
      </c>
      <c r="V34" s="37" t="str" cm="1">
        <f t="array" ref="V34">IFERROR(_xlfn._xlws.FILTER(C34,#REF!="Combine Harvester"),"")</f>
        <v/>
      </c>
      <c r="Y34" s="41" t="s">
        <v>215</v>
      </c>
      <c r="Z34" s="40" t="str">
        <f t="shared" si="0"/>
        <v>Private</v>
      </c>
      <c r="AA34" s="13"/>
      <c r="AB34" s="13"/>
    </row>
    <row r="35" spans="1:28" hidden="1">
      <c r="A35" s="52">
        <v>33</v>
      </c>
      <c r="B35" s="55" t="s">
        <v>14</v>
      </c>
      <c r="C35" s="55" t="s">
        <v>35</v>
      </c>
      <c r="D35" s="56" t="s">
        <v>235</v>
      </c>
      <c r="E35" s="55" t="s">
        <v>350</v>
      </c>
      <c r="F35" s="55" t="s">
        <v>36</v>
      </c>
      <c r="G35" s="13" t="s">
        <v>303</v>
      </c>
      <c r="H35" s="55" t="s">
        <v>37</v>
      </c>
      <c r="I35" s="55" t="s">
        <v>46</v>
      </c>
      <c r="J35" s="49" t="s">
        <v>22</v>
      </c>
      <c r="K35" s="49">
        <v>6125</v>
      </c>
      <c r="L35" s="49"/>
      <c r="M35" s="49" t="s">
        <v>277</v>
      </c>
      <c r="N35" s="49">
        <v>2010</v>
      </c>
      <c r="O35" s="49">
        <v>125</v>
      </c>
      <c r="P35" s="49" t="s">
        <v>10</v>
      </c>
      <c r="Q35" s="49" t="s">
        <v>277</v>
      </c>
      <c r="R35" s="49">
        <v>2010</v>
      </c>
      <c r="T35" s="37" t="str" cm="1">
        <f t="array" ref="T35">IFERROR(_xlfn._xlws.FILTER(C35,E35="Tractor"),"")</f>
        <v/>
      </c>
      <c r="V35" s="37" t="str" cm="1">
        <f t="array" ref="V35">IFERROR(_xlfn._xlws.FILTER(C35,#REF!="Combine Harvester"),"")</f>
        <v/>
      </c>
      <c r="Y35" s="41" t="s">
        <v>221</v>
      </c>
      <c r="Z35" s="40" t="str">
        <f t="shared" si="0"/>
        <v>Private</v>
      </c>
      <c r="AA35" s="13"/>
      <c r="AB35" s="13"/>
    </row>
    <row r="36" spans="1:28" hidden="1">
      <c r="A36" s="52">
        <v>34</v>
      </c>
      <c r="B36" s="55" t="s">
        <v>23</v>
      </c>
      <c r="C36" s="58" t="s">
        <v>157</v>
      </c>
      <c r="D36" s="55" t="s">
        <v>32</v>
      </c>
      <c r="E36" s="55" t="s">
        <v>350</v>
      </c>
      <c r="F36" s="55" t="s">
        <v>114</v>
      </c>
      <c r="G36" s="55" t="s">
        <v>300</v>
      </c>
      <c r="H36" s="58" t="s">
        <v>157</v>
      </c>
      <c r="I36" s="55">
        <v>775566197</v>
      </c>
      <c r="J36" s="49" t="s">
        <v>9</v>
      </c>
      <c r="K36" s="49" t="s">
        <v>356</v>
      </c>
      <c r="L36" s="49"/>
      <c r="M36" s="49" t="s">
        <v>277</v>
      </c>
      <c r="N36" s="49">
        <v>2019</v>
      </c>
      <c r="O36" s="49">
        <v>100</v>
      </c>
      <c r="P36" s="49" t="s">
        <v>10</v>
      </c>
      <c r="Q36" s="49" t="s">
        <v>277</v>
      </c>
      <c r="R36" s="49">
        <v>2019</v>
      </c>
      <c r="T36" s="37" t="str" cm="1">
        <f t="array" ref="T36">IFERROR(_xlfn._xlws.FILTER(C36,E36="Tractor"),"")</f>
        <v/>
      </c>
      <c r="V36" s="37" t="str" cm="1">
        <f t="array" ref="V36">IFERROR(_xlfn._xlws.FILTER(C36,#REF!="Combine Harvester"),"")</f>
        <v/>
      </c>
      <c r="Y36" s="41" t="s">
        <v>73</v>
      </c>
      <c r="Z36" s="40" t="str">
        <f t="shared" si="0"/>
        <v>Private</v>
      </c>
      <c r="AA36" s="13"/>
      <c r="AB36" s="13"/>
    </row>
    <row r="37" spans="1:28" hidden="1">
      <c r="A37" s="52">
        <v>35</v>
      </c>
      <c r="B37" s="55" t="s">
        <v>14</v>
      </c>
      <c r="C37" s="55" t="s">
        <v>35</v>
      </c>
      <c r="D37" s="56" t="s">
        <v>235</v>
      </c>
      <c r="E37" s="55" t="s">
        <v>350</v>
      </c>
      <c r="F37" s="55" t="s">
        <v>36</v>
      </c>
      <c r="G37" s="13" t="s">
        <v>303</v>
      </c>
      <c r="H37" s="55" t="s">
        <v>37</v>
      </c>
      <c r="I37" s="55" t="s">
        <v>47</v>
      </c>
      <c r="J37" s="49" t="s">
        <v>22</v>
      </c>
      <c r="K37" s="49">
        <v>6125</v>
      </c>
      <c r="L37" s="49"/>
      <c r="M37" s="49" t="s">
        <v>277</v>
      </c>
      <c r="N37" s="49">
        <v>2010</v>
      </c>
      <c r="O37" s="49">
        <v>125</v>
      </c>
      <c r="P37" s="49" t="s">
        <v>10</v>
      </c>
      <c r="Q37" s="49" t="s">
        <v>277</v>
      </c>
      <c r="R37" s="49">
        <v>2010</v>
      </c>
      <c r="T37" s="37" t="str" cm="1">
        <f t="array" ref="T37">IFERROR(_xlfn._xlws.FILTER(C37,E37="Tractor"),"")</f>
        <v/>
      </c>
      <c r="V37" s="37" t="str" cm="1">
        <f t="array" ref="V37">IFERROR(_xlfn._xlws.FILTER(C37,#REF!="Combine Harvester"),"")</f>
        <v/>
      </c>
      <c r="Y37" s="41" t="s">
        <v>13</v>
      </c>
      <c r="Z37" s="40" t="str">
        <f t="shared" si="0"/>
        <v>Private</v>
      </c>
      <c r="AA37" s="13"/>
      <c r="AB37" s="13"/>
    </row>
    <row r="38" spans="1:28" hidden="1">
      <c r="A38" s="52">
        <v>36</v>
      </c>
      <c r="B38" s="55" t="s">
        <v>23</v>
      </c>
      <c r="C38" s="58" t="s">
        <v>158</v>
      </c>
      <c r="D38" s="55" t="s">
        <v>236</v>
      </c>
      <c r="E38" s="55" t="s">
        <v>350</v>
      </c>
      <c r="F38" s="55" t="s">
        <v>159</v>
      </c>
      <c r="G38" s="55" t="s">
        <v>208</v>
      </c>
      <c r="H38" s="58" t="s">
        <v>158</v>
      </c>
      <c r="I38" s="55">
        <v>776545626</v>
      </c>
      <c r="J38" s="49" t="s">
        <v>9</v>
      </c>
      <c r="K38" s="49" t="s">
        <v>356</v>
      </c>
      <c r="L38" s="49"/>
      <c r="M38" s="49" t="s">
        <v>277</v>
      </c>
      <c r="N38" s="49">
        <v>2019</v>
      </c>
      <c r="O38" s="49">
        <v>100</v>
      </c>
      <c r="P38" s="49" t="s">
        <v>10</v>
      </c>
      <c r="Q38" s="49" t="s">
        <v>277</v>
      </c>
      <c r="R38" s="49">
        <v>2019</v>
      </c>
      <c r="T38" s="37" t="str" cm="1">
        <f t="array" ref="T38">IFERROR(_xlfn._xlws.FILTER(C38,E38="Tractor"),"")</f>
        <v/>
      </c>
      <c r="V38" s="37" t="str" cm="1">
        <f t="array" ref="V38">IFERROR(_xlfn._xlws.FILTER(C38,#REF!="Combine Harvester"),"")</f>
        <v/>
      </c>
      <c r="Y38" s="41" t="s">
        <v>72</v>
      </c>
      <c r="Z38" s="40" t="str">
        <f t="shared" si="0"/>
        <v>Private</v>
      </c>
      <c r="AA38" s="13"/>
      <c r="AB38" s="13"/>
    </row>
    <row r="39" spans="1:28" hidden="1">
      <c r="A39" s="52">
        <v>37</v>
      </c>
      <c r="B39" s="55" t="s">
        <v>14</v>
      </c>
      <c r="C39" s="56" t="s">
        <v>48</v>
      </c>
      <c r="D39" s="56" t="s">
        <v>235</v>
      </c>
      <c r="E39" s="55" t="s">
        <v>350</v>
      </c>
      <c r="F39" s="57" t="s">
        <v>49</v>
      </c>
      <c r="G39" s="13" t="s">
        <v>303</v>
      </c>
      <c r="H39" s="58" t="s">
        <v>50</v>
      </c>
      <c r="I39" s="58">
        <v>772769932</v>
      </c>
      <c r="J39" s="49" t="s">
        <v>29</v>
      </c>
      <c r="K39" s="49" t="s">
        <v>359</v>
      </c>
      <c r="L39" s="49"/>
      <c r="M39" s="49" t="s">
        <v>277</v>
      </c>
      <c r="N39" s="49">
        <v>2015</v>
      </c>
      <c r="O39" s="49" t="s">
        <v>30</v>
      </c>
      <c r="P39" s="49" t="s">
        <v>10</v>
      </c>
      <c r="Q39" s="49" t="s">
        <v>277</v>
      </c>
      <c r="R39" s="49">
        <v>2015</v>
      </c>
      <c r="T39" s="37" t="str" cm="1">
        <f t="array" ref="T39">IFERROR(_xlfn._xlws.FILTER(C39,E39="Tractor"),"")</f>
        <v/>
      </c>
      <c r="V39" s="37" t="str" cm="1">
        <f t="array" ref="V39">IFERROR(_xlfn._xlws.FILTER(C39,#REF!="Combine Harvester"),"")</f>
        <v/>
      </c>
      <c r="Y39" s="41" t="s">
        <v>74</v>
      </c>
      <c r="Z39" s="40" t="str">
        <f t="shared" si="0"/>
        <v>Private</v>
      </c>
      <c r="AA39" s="13"/>
      <c r="AB39" s="13"/>
    </row>
    <row r="40" spans="1:28" hidden="1">
      <c r="A40" s="52">
        <v>38</v>
      </c>
      <c r="B40" s="55" t="s">
        <v>23</v>
      </c>
      <c r="C40" s="58" t="s">
        <v>160</v>
      </c>
      <c r="D40" s="55" t="s">
        <v>236</v>
      </c>
      <c r="E40" s="55" t="s">
        <v>350</v>
      </c>
      <c r="F40" s="57" t="s">
        <v>154</v>
      </c>
      <c r="G40" s="57" t="s">
        <v>297</v>
      </c>
      <c r="H40" s="58" t="s">
        <v>160</v>
      </c>
      <c r="I40" s="55">
        <v>776086580</v>
      </c>
      <c r="J40" s="49" t="s">
        <v>9</v>
      </c>
      <c r="K40" s="49" t="s">
        <v>356</v>
      </c>
      <c r="L40" s="49"/>
      <c r="M40" s="49" t="s">
        <v>277</v>
      </c>
      <c r="N40" s="49">
        <v>2019</v>
      </c>
      <c r="O40" s="49">
        <v>100</v>
      </c>
      <c r="P40" s="49" t="s">
        <v>10</v>
      </c>
      <c r="Q40" s="49" t="s">
        <v>277</v>
      </c>
      <c r="R40" s="49">
        <v>2019</v>
      </c>
      <c r="T40" s="37" t="str" cm="1">
        <f t="array" ref="T40">IFERROR(_xlfn._xlws.FILTER(C40,E40="Tractor"),"")</f>
        <v/>
      </c>
      <c r="V40" s="37" t="str" cm="1">
        <f t="array" ref="V40">IFERROR(_xlfn._xlws.FILTER(C40,#REF!="Combine Harvester"),"")</f>
        <v/>
      </c>
      <c r="Y40" s="41" t="s">
        <v>11</v>
      </c>
      <c r="Z40" s="40" t="str">
        <f t="shared" si="0"/>
        <v>Private</v>
      </c>
      <c r="AA40" s="13"/>
      <c r="AB40" s="13"/>
    </row>
    <row r="41" spans="1:28" hidden="1">
      <c r="A41" s="52">
        <v>39</v>
      </c>
      <c r="B41" s="55" t="s">
        <v>14</v>
      </c>
      <c r="C41" s="56" t="s">
        <v>54</v>
      </c>
      <c r="D41" s="56" t="s">
        <v>235</v>
      </c>
      <c r="E41" s="55" t="s">
        <v>350</v>
      </c>
      <c r="F41" s="57" t="s">
        <v>55</v>
      </c>
      <c r="G41" s="13" t="s">
        <v>303</v>
      </c>
      <c r="H41" s="58" t="s">
        <v>56</v>
      </c>
      <c r="I41" s="55" t="s">
        <v>57</v>
      </c>
      <c r="J41" s="49" t="s">
        <v>29</v>
      </c>
      <c r="K41" s="49" t="s">
        <v>359</v>
      </c>
      <c r="L41" s="49"/>
      <c r="M41" s="49" t="s">
        <v>277</v>
      </c>
      <c r="N41" s="49">
        <v>2015</v>
      </c>
      <c r="O41" s="49" t="s">
        <v>30</v>
      </c>
      <c r="P41" s="49" t="s">
        <v>10</v>
      </c>
      <c r="Q41" s="49" t="s">
        <v>277</v>
      </c>
      <c r="R41" s="49">
        <v>2015</v>
      </c>
      <c r="T41" s="37" t="str" cm="1">
        <f t="array" ref="T41">IFERROR(_xlfn._xlws.FILTER(C41,E41="Tractor"),"")</f>
        <v/>
      </c>
      <c r="V41" s="37" t="str" cm="1">
        <f t="array" ref="V41">IFERROR(_xlfn._xlws.FILTER(C41,#REF!="Combine Harvester"),"")</f>
        <v/>
      </c>
      <c r="Y41" s="41" t="s">
        <v>4</v>
      </c>
      <c r="Z41" s="40" t="str">
        <f t="shared" si="0"/>
        <v>Private</v>
      </c>
      <c r="AA41" s="13"/>
      <c r="AB41" s="13"/>
    </row>
    <row r="42" spans="1:28" hidden="1">
      <c r="A42" s="52">
        <v>40</v>
      </c>
      <c r="B42" s="55" t="s">
        <v>23</v>
      </c>
      <c r="C42" s="58" t="s">
        <v>161</v>
      </c>
      <c r="D42" s="55" t="s">
        <v>32</v>
      </c>
      <c r="E42" s="55" t="s">
        <v>350</v>
      </c>
      <c r="F42" s="57" t="s">
        <v>154</v>
      </c>
      <c r="G42" s="57" t="s">
        <v>297</v>
      </c>
      <c r="H42" s="58" t="s">
        <v>199</v>
      </c>
      <c r="I42" s="55">
        <v>775654222</v>
      </c>
      <c r="J42" s="49" t="s">
        <v>9</v>
      </c>
      <c r="K42" s="49" t="s">
        <v>356</v>
      </c>
      <c r="L42" s="49"/>
      <c r="M42" s="49" t="s">
        <v>277</v>
      </c>
      <c r="N42" s="49">
        <v>2019</v>
      </c>
      <c r="O42" s="49">
        <v>100</v>
      </c>
      <c r="P42" s="49" t="s">
        <v>10</v>
      </c>
      <c r="Q42" s="49" t="s">
        <v>277</v>
      </c>
      <c r="R42" s="49">
        <v>2019</v>
      </c>
      <c r="T42" s="37" t="str" cm="1">
        <f t="array" ref="T42">IFERROR(_xlfn._xlws.FILTER(C42,E42="Tractor"),"")</f>
        <v/>
      </c>
      <c r="V42" s="37" t="str" cm="1">
        <f t="array" ref="V42">IFERROR(_xlfn._xlws.FILTER(C42,#REF!="Combine Harvester"),"")</f>
        <v/>
      </c>
      <c r="Y42" s="41" t="s">
        <v>325</v>
      </c>
      <c r="Z42" s="40" t="str">
        <f t="shared" si="0"/>
        <v>Private</v>
      </c>
      <c r="AA42" s="13"/>
      <c r="AB42" s="13"/>
    </row>
    <row r="43" spans="1:28" hidden="1">
      <c r="A43" s="52">
        <v>41</v>
      </c>
      <c r="B43" s="55" t="s">
        <v>14</v>
      </c>
      <c r="C43" s="56" t="s">
        <v>58</v>
      </c>
      <c r="D43" s="56" t="s">
        <v>235</v>
      </c>
      <c r="E43" s="55" t="s">
        <v>350</v>
      </c>
      <c r="F43" s="57" t="s">
        <v>55</v>
      </c>
      <c r="G43" s="13" t="s">
        <v>303</v>
      </c>
      <c r="H43" s="58" t="s">
        <v>59</v>
      </c>
      <c r="I43" s="55" t="s">
        <v>60</v>
      </c>
      <c r="J43" s="49" t="s">
        <v>22</v>
      </c>
      <c r="K43" s="49">
        <v>6125</v>
      </c>
      <c r="L43" s="49"/>
      <c r="M43" s="49" t="s">
        <v>277</v>
      </c>
      <c r="N43" s="49">
        <v>2016</v>
      </c>
      <c r="O43" s="49">
        <v>125</v>
      </c>
      <c r="P43" s="49" t="s">
        <v>10</v>
      </c>
      <c r="Q43" s="49" t="s">
        <v>277</v>
      </c>
      <c r="R43" s="49">
        <v>2016</v>
      </c>
      <c r="T43" s="37" t="str" cm="1">
        <f t="array" ref="T43">IFERROR(_xlfn._xlws.FILTER(C43,E43="Tractor"),"")</f>
        <v/>
      </c>
      <c r="V43" s="37" t="str" cm="1">
        <f t="array" ref="V43">IFERROR(_xlfn._xlws.FILTER(C43,#REF!="Combine Harvester"),"")</f>
        <v/>
      </c>
      <c r="Y43" s="41" t="s">
        <v>123</v>
      </c>
      <c r="Z43" s="40" t="str">
        <f t="shared" si="0"/>
        <v>Private</v>
      </c>
      <c r="AA43" s="13"/>
      <c r="AB43" s="13"/>
    </row>
    <row r="44" spans="1:28" hidden="1">
      <c r="A44" s="52">
        <v>42</v>
      </c>
      <c r="B44" s="55" t="s">
        <v>23</v>
      </c>
      <c r="C44" s="58" t="s">
        <v>162</v>
      </c>
      <c r="D44" s="55" t="s">
        <v>236</v>
      </c>
      <c r="E44" s="55" t="s">
        <v>350</v>
      </c>
      <c r="F44" s="55" t="s">
        <v>163</v>
      </c>
      <c r="G44" s="55" t="s">
        <v>208</v>
      </c>
      <c r="H44" s="58" t="s">
        <v>162</v>
      </c>
      <c r="I44" s="55">
        <v>775285770</v>
      </c>
      <c r="J44" s="49" t="s">
        <v>9</v>
      </c>
      <c r="K44" s="49" t="s">
        <v>356</v>
      </c>
      <c r="L44" s="49"/>
      <c r="M44" s="49" t="s">
        <v>277</v>
      </c>
      <c r="N44" s="49">
        <v>2019</v>
      </c>
      <c r="O44" s="49">
        <v>100</v>
      </c>
      <c r="P44" s="49" t="s">
        <v>10</v>
      </c>
      <c r="Q44" s="49" t="s">
        <v>277</v>
      </c>
      <c r="R44" s="49">
        <v>2019</v>
      </c>
      <c r="T44" s="37" t="str" cm="1">
        <f t="array" ref="T44">IFERROR(_xlfn._xlws.FILTER(C44,E44="Tractor"),"")</f>
        <v/>
      </c>
      <c r="V44" s="37" t="str" cm="1">
        <f t="array" ref="V44">IFERROR(_xlfn._xlws.FILTER(C44,#REF!="Combine Harvester"),"")</f>
        <v/>
      </c>
      <c r="Y44" s="41" t="s">
        <v>160</v>
      </c>
      <c r="Z44" s="40" t="str">
        <f t="shared" si="0"/>
        <v>Private</v>
      </c>
      <c r="AA44" s="13"/>
      <c r="AB44" s="13"/>
    </row>
    <row r="45" spans="1:28" hidden="1">
      <c r="A45" s="52">
        <v>43</v>
      </c>
      <c r="B45" s="55" t="s">
        <v>14</v>
      </c>
      <c r="C45" s="56" t="s">
        <v>61</v>
      </c>
      <c r="D45" s="56" t="s">
        <v>235</v>
      </c>
      <c r="E45" s="55" t="s">
        <v>350</v>
      </c>
      <c r="F45" s="57" t="s">
        <v>21</v>
      </c>
      <c r="G45" s="60" t="s">
        <v>302</v>
      </c>
      <c r="H45" s="58" t="s">
        <v>62</v>
      </c>
      <c r="I45" s="55" t="s">
        <v>63</v>
      </c>
      <c r="J45" s="49" t="s">
        <v>22</v>
      </c>
      <c r="K45" s="49">
        <v>6125</v>
      </c>
      <c r="L45" s="49"/>
      <c r="M45" s="49" t="s">
        <v>281</v>
      </c>
      <c r="N45" s="49">
        <v>2016</v>
      </c>
      <c r="O45" s="49">
        <v>125</v>
      </c>
      <c r="P45" s="49" t="s">
        <v>10</v>
      </c>
      <c r="Q45" s="49" t="s">
        <v>277</v>
      </c>
      <c r="R45" s="49">
        <v>2016</v>
      </c>
      <c r="T45" s="37" t="str" cm="1">
        <f t="array" ref="T45">IFERROR(_xlfn._xlws.FILTER(C45,E45="Tractor"),"")</f>
        <v/>
      </c>
      <c r="V45" s="37" t="str" cm="1">
        <f t="array" ref="V45">IFERROR(_xlfn._xlws.FILTER(C45,#REF!="Combine Harvester"),"")</f>
        <v/>
      </c>
      <c r="Y45" s="41" t="s">
        <v>161</v>
      </c>
      <c r="Z45" s="40" t="str">
        <f t="shared" si="0"/>
        <v>Union</v>
      </c>
      <c r="AA45" s="13"/>
      <c r="AB45" s="13"/>
    </row>
    <row r="46" spans="1:28" ht="29" hidden="1">
      <c r="A46" s="52">
        <v>44</v>
      </c>
      <c r="B46" s="55" t="s">
        <v>3</v>
      </c>
      <c r="C46" s="56" t="s">
        <v>164</v>
      </c>
      <c r="D46" s="55" t="s">
        <v>236</v>
      </c>
      <c r="E46" s="55" t="s">
        <v>350</v>
      </c>
      <c r="F46" s="57" t="s">
        <v>165</v>
      </c>
      <c r="G46" s="57" t="s">
        <v>208</v>
      </c>
      <c r="H46" s="58" t="s">
        <v>166</v>
      </c>
      <c r="I46" s="55" t="s">
        <v>167</v>
      </c>
      <c r="J46" s="49" t="s">
        <v>22</v>
      </c>
      <c r="K46" s="49">
        <v>6125</v>
      </c>
      <c r="L46" s="49"/>
      <c r="M46" s="49" t="s">
        <v>277</v>
      </c>
      <c r="N46" s="49">
        <v>2016</v>
      </c>
      <c r="O46" s="49">
        <v>125</v>
      </c>
      <c r="P46" s="49" t="s">
        <v>10</v>
      </c>
      <c r="Q46" s="49" t="s">
        <v>277</v>
      </c>
      <c r="R46" s="49">
        <v>2016</v>
      </c>
      <c r="T46" s="37" t="str" cm="1">
        <f t="array" ref="T46">IFERROR(_xlfn._xlws.FILTER(C46,E46="Tractor"),"")</f>
        <v/>
      </c>
      <c r="V46" s="37" t="str" cm="1">
        <f t="array" ref="V46">IFERROR(_xlfn._xlws.FILTER(C46,#REF!="Combine Harvester"),"")</f>
        <v/>
      </c>
      <c r="Y46" s="41" t="s">
        <v>180</v>
      </c>
      <c r="Z46" s="40" t="str">
        <f t="shared" si="0"/>
        <v>Union</v>
      </c>
      <c r="AA46" s="13"/>
      <c r="AB46" s="13"/>
    </row>
    <row r="47" spans="1:28" hidden="1">
      <c r="A47" s="52">
        <v>45</v>
      </c>
      <c r="B47" s="55" t="s">
        <v>14</v>
      </c>
      <c r="C47" s="56" t="s">
        <v>64</v>
      </c>
      <c r="D47" s="56" t="s">
        <v>235</v>
      </c>
      <c r="E47" s="55" t="s">
        <v>350</v>
      </c>
      <c r="F47" s="57" t="s">
        <v>55</v>
      </c>
      <c r="G47" s="13" t="s">
        <v>303</v>
      </c>
      <c r="H47" s="58" t="s">
        <v>65</v>
      </c>
      <c r="I47" s="55" t="s">
        <v>66</v>
      </c>
      <c r="J47" s="49" t="s">
        <v>22</v>
      </c>
      <c r="K47" s="49">
        <v>6125</v>
      </c>
      <c r="L47" s="49"/>
      <c r="M47" s="49" t="s">
        <v>277</v>
      </c>
      <c r="N47" s="49">
        <v>2016</v>
      </c>
      <c r="O47" s="49">
        <v>125</v>
      </c>
      <c r="P47" s="49" t="s">
        <v>10</v>
      </c>
      <c r="Q47" s="49" t="s">
        <v>277</v>
      </c>
      <c r="R47" s="49">
        <v>2016</v>
      </c>
      <c r="T47" s="37" t="str" cm="1">
        <f t="array" ref="T47">IFERROR(_xlfn._xlws.FILTER(C47,E47="Tractor"),"")</f>
        <v/>
      </c>
      <c r="V47" s="37" t="str" cm="1">
        <f t="array" ref="V47">IFERROR(_xlfn._xlws.FILTER(C47,#REF!="Combine Harvester"),"")</f>
        <v/>
      </c>
      <c r="Y47" s="41" t="s">
        <v>193</v>
      </c>
      <c r="Z47" s="40" t="str">
        <f t="shared" si="0"/>
        <v>Private</v>
      </c>
      <c r="AA47" s="13"/>
      <c r="AB47" s="13"/>
    </row>
    <row r="48" spans="1:28" hidden="1">
      <c r="A48" s="52">
        <v>46</v>
      </c>
      <c r="B48" s="55" t="s">
        <v>3</v>
      </c>
      <c r="C48" s="56" t="s">
        <v>168</v>
      </c>
      <c r="D48" s="56" t="s">
        <v>32</v>
      </c>
      <c r="E48" s="55" t="s">
        <v>350</v>
      </c>
      <c r="F48" s="57" t="s">
        <v>306</v>
      </c>
      <c r="G48" s="57" t="s">
        <v>208</v>
      </c>
      <c r="H48" s="58" t="s">
        <v>201</v>
      </c>
      <c r="I48" s="55" t="s">
        <v>202</v>
      </c>
      <c r="J48" s="49" t="s">
        <v>29</v>
      </c>
      <c r="K48" s="49" t="s">
        <v>365</v>
      </c>
      <c r="L48" s="49"/>
      <c r="M48" s="49" t="s">
        <v>281</v>
      </c>
      <c r="N48" s="49">
        <v>2015</v>
      </c>
      <c r="O48" s="49" t="s">
        <v>53</v>
      </c>
      <c r="P48" s="49" t="s">
        <v>10</v>
      </c>
      <c r="Q48" s="49" t="s">
        <v>277</v>
      </c>
      <c r="R48" s="49">
        <v>2015</v>
      </c>
      <c r="T48" s="37" t="str" cm="1">
        <f t="array" ref="T48">IFERROR(_xlfn._xlws.FILTER(C48,E48="Tractor"),"")</f>
        <v/>
      </c>
      <c r="V48" s="37" t="str" cm="1">
        <f t="array" ref="V48">IFERROR(_xlfn._xlws.FILTER(C48,#REF!="Combine Harvester"),"")</f>
        <v/>
      </c>
      <c r="Y48" s="41" t="s">
        <v>195</v>
      </c>
      <c r="Z48" s="40" t="str">
        <f t="shared" si="0"/>
        <v>Private</v>
      </c>
      <c r="AA48" s="13"/>
      <c r="AB48" s="13"/>
    </row>
    <row r="49" spans="1:28" hidden="1">
      <c r="A49" s="52">
        <v>47</v>
      </c>
      <c r="B49" s="55" t="s">
        <v>14</v>
      </c>
      <c r="C49" s="56" t="s">
        <v>67</v>
      </c>
      <c r="D49" s="56" t="s">
        <v>235</v>
      </c>
      <c r="E49" s="55" t="s">
        <v>350</v>
      </c>
      <c r="F49" s="57" t="s">
        <v>55</v>
      </c>
      <c r="G49" s="13" t="s">
        <v>303</v>
      </c>
      <c r="H49" s="58" t="s">
        <v>68</v>
      </c>
      <c r="I49" s="55" t="s">
        <v>69</v>
      </c>
      <c r="J49" s="49" t="s">
        <v>22</v>
      </c>
      <c r="K49" s="49">
        <v>6125</v>
      </c>
      <c r="L49" s="49"/>
      <c r="M49" s="49" t="s">
        <v>277</v>
      </c>
      <c r="N49" s="49">
        <v>2016</v>
      </c>
      <c r="O49" s="49">
        <v>125</v>
      </c>
      <c r="P49" s="49" t="s">
        <v>10</v>
      </c>
      <c r="Q49" s="49" t="s">
        <v>277</v>
      </c>
      <c r="R49" s="49">
        <v>2016</v>
      </c>
      <c r="T49" s="37" t="str" cm="1">
        <f t="array" ref="T49">IFERROR(_xlfn._xlws.FILTER(C49,E49="Tractor"),"")</f>
        <v/>
      </c>
      <c r="V49" s="37" t="str" cm="1">
        <f t="array" ref="V49">IFERROR(_xlfn._xlws.FILTER(C49,#REF!="Combine Harvester"),"")</f>
        <v/>
      </c>
      <c r="Y49" s="41" t="s">
        <v>326</v>
      </c>
      <c r="Z49" s="40" t="str">
        <f t="shared" si="0"/>
        <v>Union</v>
      </c>
      <c r="AA49" s="13"/>
      <c r="AB49" s="13"/>
    </row>
    <row r="50" spans="1:28" hidden="1">
      <c r="A50" s="52">
        <v>48</v>
      </c>
      <c r="B50" s="55" t="s">
        <v>3</v>
      </c>
      <c r="C50" s="56" t="s">
        <v>168</v>
      </c>
      <c r="D50" s="56" t="s">
        <v>32</v>
      </c>
      <c r="E50" s="55" t="s">
        <v>350</v>
      </c>
      <c r="F50" s="57" t="s">
        <v>306</v>
      </c>
      <c r="G50" s="57" t="s">
        <v>208</v>
      </c>
      <c r="H50" s="58" t="s">
        <v>201</v>
      </c>
      <c r="I50" s="55" t="s">
        <v>203</v>
      </c>
      <c r="J50" s="49" t="s">
        <v>9</v>
      </c>
      <c r="K50" s="49" t="s">
        <v>356</v>
      </c>
      <c r="L50" s="49"/>
      <c r="M50" s="49" t="s">
        <v>281</v>
      </c>
      <c r="N50" s="49">
        <v>2019</v>
      </c>
      <c r="O50" s="49" t="s">
        <v>53</v>
      </c>
      <c r="P50" s="49" t="s">
        <v>10</v>
      </c>
      <c r="Q50" s="49" t="s">
        <v>277</v>
      </c>
      <c r="R50" s="49">
        <v>2019</v>
      </c>
      <c r="T50" s="37" t="str" cm="1">
        <f t="array" ref="T50">IFERROR(_xlfn._xlws.FILTER(C50,E50="Tractor"),"")</f>
        <v/>
      </c>
      <c r="V50" s="37" t="str" cm="1">
        <f t="array" ref="V50">IFERROR(_xlfn._xlws.FILTER(C50,#REF!="Combine Harvester"),"")</f>
        <v/>
      </c>
      <c r="Y50" s="41" t="s">
        <v>327</v>
      </c>
      <c r="Z50" s="40" t="str">
        <f t="shared" si="0"/>
        <v>Union</v>
      </c>
      <c r="AA50" s="13"/>
      <c r="AB50" s="13"/>
    </row>
    <row r="51" spans="1:28" ht="29" hidden="1">
      <c r="A51" s="52">
        <v>49</v>
      </c>
      <c r="B51" s="55" t="s">
        <v>14</v>
      </c>
      <c r="C51" s="56" t="s">
        <v>70</v>
      </c>
      <c r="D51" s="56" t="s">
        <v>235</v>
      </c>
      <c r="E51" s="55" t="s">
        <v>350</v>
      </c>
      <c r="F51" s="57" t="s">
        <v>17</v>
      </c>
      <c r="G51" s="13" t="s">
        <v>303</v>
      </c>
      <c r="H51" s="58" t="s">
        <v>71</v>
      </c>
      <c r="I51" s="55" t="s">
        <v>19</v>
      </c>
      <c r="J51" s="49" t="s">
        <v>9</v>
      </c>
      <c r="K51" s="49" t="s">
        <v>356</v>
      </c>
      <c r="L51" s="49"/>
      <c r="M51" s="49" t="s">
        <v>277</v>
      </c>
      <c r="N51" s="49">
        <v>2019</v>
      </c>
      <c r="O51" s="49">
        <v>100</v>
      </c>
      <c r="P51" s="49" t="s">
        <v>10</v>
      </c>
      <c r="Q51" s="49" t="s">
        <v>277</v>
      </c>
      <c r="R51" s="49">
        <v>2019</v>
      </c>
      <c r="T51" s="37" t="str" cm="1">
        <f t="array" ref="T51">IFERROR(_xlfn._xlws.FILTER(C51,E51="Tractor"),"")</f>
        <v/>
      </c>
      <c r="V51" s="37" t="str" cm="1">
        <f t="array" ref="V51">IFERROR(_xlfn._xlws.FILTER(C51,#REF!="Combine Harvester"),"")</f>
        <v/>
      </c>
      <c r="Y51" s="41" t="s">
        <v>328</v>
      </c>
      <c r="Z51" s="40" t="str">
        <f t="shared" si="0"/>
        <v>Private</v>
      </c>
      <c r="AA51" s="13"/>
      <c r="AB51" s="13"/>
    </row>
    <row r="52" spans="1:28" ht="24" hidden="1">
      <c r="A52" s="52">
        <v>50</v>
      </c>
      <c r="B52" s="55" t="s">
        <v>3</v>
      </c>
      <c r="C52" s="56" t="s">
        <v>169</v>
      </c>
      <c r="D52" s="56" t="s">
        <v>32</v>
      </c>
      <c r="E52" s="55" t="s">
        <v>350</v>
      </c>
      <c r="F52" s="57" t="s">
        <v>154</v>
      </c>
      <c r="G52" s="57" t="s">
        <v>297</v>
      </c>
      <c r="H52" s="58" t="s">
        <v>170</v>
      </c>
      <c r="I52" s="55" t="s">
        <v>171</v>
      </c>
      <c r="J52" s="49" t="s">
        <v>176</v>
      </c>
      <c r="K52" s="49">
        <v>5365</v>
      </c>
      <c r="L52" s="49"/>
      <c r="M52" s="49" t="s">
        <v>277</v>
      </c>
      <c r="N52" s="49">
        <v>2017</v>
      </c>
      <c r="O52" s="49">
        <v>125</v>
      </c>
      <c r="P52" s="49" t="s">
        <v>10</v>
      </c>
      <c r="Q52" s="49" t="s">
        <v>277</v>
      </c>
      <c r="R52" s="49">
        <v>2017</v>
      </c>
      <c r="T52" s="37" t="str" cm="1">
        <f t="array" ref="T52">IFERROR(_xlfn._xlws.FILTER(C52,E52="Tractor"),"")</f>
        <v/>
      </c>
      <c r="V52" s="37" t="str" cm="1">
        <f t="array" ref="V52">IFERROR(_xlfn._xlws.FILTER(C52,#REF!="Combine Harvester"),"")</f>
        <v/>
      </c>
      <c r="Y52" s="41" t="s">
        <v>329</v>
      </c>
      <c r="Z52" s="40" t="str">
        <f t="shared" si="0"/>
        <v>Private</v>
      </c>
      <c r="AA52" s="13"/>
      <c r="AB52" s="13"/>
    </row>
    <row r="53" spans="1:28" hidden="1">
      <c r="A53" s="52">
        <v>51</v>
      </c>
      <c r="B53" s="55" t="s">
        <v>14</v>
      </c>
      <c r="C53" s="58" t="s">
        <v>72</v>
      </c>
      <c r="D53" s="56" t="s">
        <v>235</v>
      </c>
      <c r="E53" s="55" t="s">
        <v>350</v>
      </c>
      <c r="F53" s="55" t="s">
        <v>14</v>
      </c>
      <c r="G53" s="63" t="s">
        <v>5</v>
      </c>
      <c r="H53" s="58" t="s">
        <v>72</v>
      </c>
      <c r="I53" s="55">
        <v>772166493</v>
      </c>
      <c r="J53" s="49" t="s">
        <v>9</v>
      </c>
      <c r="K53" s="49" t="s">
        <v>356</v>
      </c>
      <c r="L53" s="49"/>
      <c r="M53" s="49" t="s">
        <v>281</v>
      </c>
      <c r="N53" s="49">
        <v>2019</v>
      </c>
      <c r="O53" s="49">
        <v>100</v>
      </c>
      <c r="P53" s="49" t="s">
        <v>10</v>
      </c>
      <c r="Q53" s="49" t="s">
        <v>277</v>
      </c>
      <c r="R53" s="49">
        <v>2019</v>
      </c>
      <c r="T53" s="37" t="str" cm="1">
        <f t="array" ref="T53">IFERROR(_xlfn._xlws.FILTER(C53,E53="Tractor"),"")</f>
        <v/>
      </c>
      <c r="V53" s="37" t="str" cm="1">
        <f t="array" ref="V53">IFERROR(_xlfn._xlws.FILTER(C53,#REF!="Combine Harvester"),"")</f>
        <v/>
      </c>
      <c r="Y53" s="41" t="s">
        <v>330</v>
      </c>
      <c r="Z53" s="40" t="str">
        <f t="shared" si="0"/>
        <v>Union</v>
      </c>
      <c r="AA53" s="13"/>
      <c r="AB53" s="13"/>
    </row>
    <row r="54" spans="1:28" hidden="1">
      <c r="A54" s="52">
        <v>52</v>
      </c>
      <c r="B54" s="55" t="s">
        <v>3</v>
      </c>
      <c r="C54" s="56" t="s">
        <v>169</v>
      </c>
      <c r="D54" s="56" t="s">
        <v>32</v>
      </c>
      <c r="E54" s="55" t="s">
        <v>350</v>
      </c>
      <c r="F54" s="57" t="s">
        <v>154</v>
      </c>
      <c r="G54" s="57" t="s">
        <v>297</v>
      </c>
      <c r="H54" s="58" t="s">
        <v>170</v>
      </c>
      <c r="I54" s="55" t="s">
        <v>172</v>
      </c>
      <c r="J54" s="49" t="s">
        <v>29</v>
      </c>
      <c r="K54" s="49" t="s">
        <v>365</v>
      </c>
      <c r="L54" s="49"/>
      <c r="M54" s="49" t="s">
        <v>277</v>
      </c>
      <c r="N54" s="49">
        <v>2015</v>
      </c>
      <c r="O54" s="49" t="s">
        <v>30</v>
      </c>
      <c r="P54" s="49" t="s">
        <v>10</v>
      </c>
      <c r="Q54" s="49" t="s">
        <v>277</v>
      </c>
      <c r="R54" s="49">
        <v>2015</v>
      </c>
      <c r="T54" s="37" t="str" cm="1">
        <f t="array" ref="T54">IFERROR(_xlfn._xlws.FILTER(C54,E54="Tractor"),"")</f>
        <v/>
      </c>
      <c r="V54" s="37" t="str" cm="1">
        <f t="array" ref="V54">IFERROR(_xlfn._xlws.FILTER(C54,#REF!="Combine Harvester"),"")</f>
        <v/>
      </c>
      <c r="Y54" s="41" t="s">
        <v>331</v>
      </c>
      <c r="Z54" s="40" t="str">
        <f t="shared" si="0"/>
        <v>Private</v>
      </c>
      <c r="AA54" s="13"/>
      <c r="AB54" s="13"/>
    </row>
    <row r="55" spans="1:28" hidden="1">
      <c r="A55" s="52">
        <v>53</v>
      </c>
      <c r="B55" s="55" t="s">
        <v>14</v>
      </c>
      <c r="C55" s="58" t="s">
        <v>73</v>
      </c>
      <c r="D55" s="56" t="s">
        <v>235</v>
      </c>
      <c r="E55" s="55" t="s">
        <v>350</v>
      </c>
      <c r="F55" s="55" t="s">
        <v>14</v>
      </c>
      <c r="G55" s="63" t="s">
        <v>5</v>
      </c>
      <c r="H55" s="58" t="s">
        <v>73</v>
      </c>
      <c r="I55" s="55">
        <v>775487856</v>
      </c>
      <c r="J55" s="49" t="s">
        <v>9</v>
      </c>
      <c r="K55" s="49" t="s">
        <v>356</v>
      </c>
      <c r="L55" s="49"/>
      <c r="M55" s="49" t="s">
        <v>277</v>
      </c>
      <c r="N55" s="49">
        <v>2019</v>
      </c>
      <c r="O55" s="49">
        <v>100</v>
      </c>
      <c r="P55" s="49" t="s">
        <v>10</v>
      </c>
      <c r="Q55" s="49" t="s">
        <v>277</v>
      </c>
      <c r="R55" s="49">
        <v>2019</v>
      </c>
      <c r="T55" s="37" t="str" cm="1">
        <f t="array" ref="T55">IFERROR(_xlfn._xlws.FILTER(C55,E55="Tractor"),"")</f>
        <v/>
      </c>
      <c r="V55" s="37" t="str" cm="1">
        <f t="array" ref="V55">IFERROR(_xlfn._xlws.FILTER(C55,#REF!="Combine Harvester"),"")</f>
        <v/>
      </c>
      <c r="Y55" s="41" t="s">
        <v>332</v>
      </c>
      <c r="Z55" s="40" t="str">
        <f t="shared" si="0"/>
        <v>Union</v>
      </c>
      <c r="AA55" s="13"/>
      <c r="AB55" s="13"/>
    </row>
    <row r="56" spans="1:28" hidden="1">
      <c r="A56" s="52">
        <v>54</v>
      </c>
      <c r="B56" s="55" t="s">
        <v>3</v>
      </c>
      <c r="C56" s="56" t="s">
        <v>173</v>
      </c>
      <c r="D56" s="56" t="s">
        <v>32</v>
      </c>
      <c r="E56" s="55" t="s">
        <v>350</v>
      </c>
      <c r="F56" s="57" t="s">
        <v>132</v>
      </c>
      <c r="G56" s="57" t="s">
        <v>298</v>
      </c>
      <c r="H56" s="58" t="s">
        <v>174</v>
      </c>
      <c r="I56" s="55" t="s">
        <v>175</v>
      </c>
      <c r="J56" s="49" t="s">
        <v>22</v>
      </c>
      <c r="K56" s="49">
        <v>6125</v>
      </c>
      <c r="L56" s="49"/>
      <c r="M56" s="49" t="s">
        <v>277</v>
      </c>
      <c r="N56" s="49">
        <v>2016</v>
      </c>
      <c r="O56" s="49">
        <v>125</v>
      </c>
      <c r="P56" s="49" t="s">
        <v>10</v>
      </c>
      <c r="Q56" s="49" t="s">
        <v>277</v>
      </c>
      <c r="R56" s="49">
        <v>2016</v>
      </c>
      <c r="T56" s="37" t="str" cm="1">
        <f t="array" ref="T56">IFERROR(_xlfn._xlws.FILTER(C56,E56="Tractor"),"")</f>
        <v/>
      </c>
      <c r="V56" s="37" t="str" cm="1">
        <f t="array" ref="V56">IFERROR(_xlfn._xlws.FILTER(C56,#REF!="Combine Harvester"),"")</f>
        <v/>
      </c>
      <c r="Y56" s="41" t="s">
        <v>196</v>
      </c>
      <c r="Z56" s="40" t="str">
        <f t="shared" si="0"/>
        <v>Private</v>
      </c>
      <c r="AA56" s="13"/>
      <c r="AB56" s="13"/>
    </row>
    <row r="57" spans="1:28" hidden="1">
      <c r="A57" s="52">
        <v>55</v>
      </c>
      <c r="B57" s="55" t="s">
        <v>14</v>
      </c>
      <c r="C57" s="58" t="s">
        <v>74</v>
      </c>
      <c r="D57" s="56" t="s">
        <v>235</v>
      </c>
      <c r="E57" s="55" t="s">
        <v>350</v>
      </c>
      <c r="F57" s="55" t="s">
        <v>14</v>
      </c>
      <c r="G57" s="63" t="s">
        <v>5</v>
      </c>
      <c r="H57" s="58" t="s">
        <v>74</v>
      </c>
      <c r="I57" s="55">
        <v>7763665586</v>
      </c>
      <c r="J57" s="49" t="s">
        <v>9</v>
      </c>
      <c r="K57" s="49" t="s">
        <v>356</v>
      </c>
      <c r="L57" s="49"/>
      <c r="M57" s="49" t="s">
        <v>277</v>
      </c>
      <c r="N57" s="49">
        <v>2019</v>
      </c>
      <c r="O57" s="49">
        <v>100</v>
      </c>
      <c r="P57" s="49" t="s">
        <v>10</v>
      </c>
      <c r="Q57" s="49" t="s">
        <v>277</v>
      </c>
      <c r="R57" s="49">
        <v>2019</v>
      </c>
      <c r="T57" s="37" t="str" cm="1">
        <f t="array" ref="T57">IFERROR(_xlfn._xlws.FILTER(C57,E57="Tractor"),"")</f>
        <v/>
      </c>
      <c r="V57" s="37" t="str" cm="1">
        <f t="array" ref="V57">IFERROR(_xlfn._xlws.FILTER(C57,#REF!="Combine Harvester"),"")</f>
        <v/>
      </c>
      <c r="Y57" s="41" t="s">
        <v>158</v>
      </c>
      <c r="Z57" s="40" t="str">
        <f t="shared" si="0"/>
        <v>Private</v>
      </c>
      <c r="AA57" s="13"/>
      <c r="AB57" s="13"/>
    </row>
    <row r="58" spans="1:28" hidden="1">
      <c r="A58" s="52">
        <v>56</v>
      </c>
      <c r="B58" s="55" t="s">
        <v>3</v>
      </c>
      <c r="C58" s="56" t="s">
        <v>177</v>
      </c>
      <c r="D58" s="56" t="s">
        <v>32</v>
      </c>
      <c r="E58" s="55" t="s">
        <v>350</v>
      </c>
      <c r="F58" s="57" t="s">
        <v>154</v>
      </c>
      <c r="G58" s="57" t="s">
        <v>297</v>
      </c>
      <c r="H58" s="58" t="s">
        <v>178</v>
      </c>
      <c r="I58" s="55" t="s">
        <v>179</v>
      </c>
      <c r="J58" s="49" t="s">
        <v>22</v>
      </c>
      <c r="K58" s="49">
        <v>6125</v>
      </c>
      <c r="L58" s="49"/>
      <c r="M58" s="49" t="s">
        <v>277</v>
      </c>
      <c r="N58" s="49">
        <v>2015</v>
      </c>
      <c r="O58" s="49">
        <v>125</v>
      </c>
      <c r="P58" s="49" t="s">
        <v>10</v>
      </c>
      <c r="Q58" s="49" t="s">
        <v>277</v>
      </c>
      <c r="R58" s="49">
        <v>2015</v>
      </c>
      <c r="T58" s="37" t="str" cm="1">
        <f t="array" ref="T58">IFERROR(_xlfn._xlws.FILTER(C58,E58="Tractor"),"")</f>
        <v/>
      </c>
      <c r="V58" s="37" t="str" cm="1">
        <f t="array" ref="V58">IFERROR(_xlfn._xlws.FILTER(C58,#REF!="Combine Harvester"),"")</f>
        <v/>
      </c>
      <c r="Y58" s="41" t="s">
        <v>333</v>
      </c>
      <c r="Z58" s="40" t="str">
        <f t="shared" si="0"/>
        <v>Private</v>
      </c>
      <c r="AA58" s="13"/>
      <c r="AB58" s="13"/>
    </row>
    <row r="59" spans="1:28" ht="29" hidden="1">
      <c r="A59" s="52">
        <v>57</v>
      </c>
      <c r="B59" s="55" t="s">
        <v>14</v>
      </c>
      <c r="C59" s="58" t="s">
        <v>75</v>
      </c>
      <c r="D59" s="56" t="s">
        <v>235</v>
      </c>
      <c r="E59" s="55" t="s">
        <v>350</v>
      </c>
      <c r="F59" s="58" t="s">
        <v>76</v>
      </c>
      <c r="G59" s="60" t="s">
        <v>302</v>
      </c>
      <c r="H59" s="58" t="s">
        <v>75</v>
      </c>
      <c r="I59" s="55">
        <v>775360437</v>
      </c>
      <c r="J59" s="49" t="s">
        <v>9</v>
      </c>
      <c r="K59" s="49" t="s">
        <v>356</v>
      </c>
      <c r="L59" s="49"/>
      <c r="M59" s="49" t="s">
        <v>277</v>
      </c>
      <c r="N59" s="49">
        <v>2019</v>
      </c>
      <c r="O59" s="49">
        <v>100</v>
      </c>
      <c r="P59" s="49" t="s">
        <v>10</v>
      </c>
      <c r="Q59" s="49" t="s">
        <v>277</v>
      </c>
      <c r="R59" s="49">
        <v>2019</v>
      </c>
      <c r="T59" s="37" t="str" cm="1">
        <f t="array" ref="T59">IFERROR(_xlfn._xlws.FILTER(C59,E59="Tractor"),"")</f>
        <v/>
      </c>
      <c r="V59" s="37" t="str" cm="1">
        <f t="array" ref="V59">IFERROR(_xlfn._xlws.FILTER(C59,#REF!="Combine Harvester"),"")</f>
        <v/>
      </c>
      <c r="Y59" s="41" t="s">
        <v>334</v>
      </c>
      <c r="Z59" s="40" t="str">
        <f t="shared" si="0"/>
        <v>Union</v>
      </c>
      <c r="AA59" s="13"/>
      <c r="AB59" s="13"/>
    </row>
    <row r="60" spans="1:28" ht="24" hidden="1">
      <c r="A60" s="52">
        <v>58</v>
      </c>
      <c r="B60" s="55" t="s">
        <v>23</v>
      </c>
      <c r="C60" s="58" t="s">
        <v>180</v>
      </c>
      <c r="D60" s="55" t="s">
        <v>32</v>
      </c>
      <c r="E60" s="55" t="s">
        <v>350</v>
      </c>
      <c r="F60" s="57" t="s">
        <v>154</v>
      </c>
      <c r="G60" s="57" t="s">
        <v>297</v>
      </c>
      <c r="H60" s="58" t="s">
        <v>205</v>
      </c>
      <c r="I60" s="55" t="s">
        <v>204</v>
      </c>
      <c r="J60" s="49" t="s">
        <v>176</v>
      </c>
      <c r="K60" s="49">
        <v>5365</v>
      </c>
      <c r="L60" s="49"/>
      <c r="M60" s="49" t="s">
        <v>277</v>
      </c>
      <c r="N60" s="49">
        <v>2020</v>
      </c>
      <c r="O60" s="49">
        <v>125</v>
      </c>
      <c r="P60" s="49" t="s">
        <v>10</v>
      </c>
      <c r="Q60" s="49" t="s">
        <v>277</v>
      </c>
      <c r="R60" s="49">
        <v>2020</v>
      </c>
      <c r="T60" s="37" t="str" cm="1">
        <f t="array" ref="T60">IFERROR(_xlfn._xlws.FILTER(C60,E60="Tractor"),"")</f>
        <v/>
      </c>
      <c r="V60" s="37" t="str" cm="1">
        <f t="array" ref="V60">IFERROR(_xlfn._xlws.FILTER(C60,#REF!="Combine Harvester"),"")</f>
        <v/>
      </c>
      <c r="Y60" s="41" t="s">
        <v>184</v>
      </c>
      <c r="Z60" s="40" t="str">
        <f t="shared" si="0"/>
        <v>Private</v>
      </c>
      <c r="AA60" s="13"/>
      <c r="AB60" s="13"/>
    </row>
    <row r="61" spans="1:28" hidden="1">
      <c r="A61" s="52">
        <v>59</v>
      </c>
      <c r="B61" s="55" t="s">
        <v>14</v>
      </c>
      <c r="C61" s="56" t="s">
        <v>77</v>
      </c>
      <c r="D61" s="56" t="s">
        <v>32</v>
      </c>
      <c r="E61" s="55" t="s">
        <v>350</v>
      </c>
      <c r="F61" s="57" t="s">
        <v>78</v>
      </c>
      <c r="G61" s="13" t="s">
        <v>301</v>
      </c>
      <c r="H61" s="58" t="s">
        <v>79</v>
      </c>
      <c r="I61" s="55" t="s">
        <v>80</v>
      </c>
      <c r="J61" s="49" t="s">
        <v>22</v>
      </c>
      <c r="K61" s="49">
        <v>6125</v>
      </c>
      <c r="L61" s="49"/>
      <c r="M61" s="49" t="s">
        <v>281</v>
      </c>
      <c r="N61" s="49">
        <v>2015</v>
      </c>
      <c r="O61" s="49">
        <v>125</v>
      </c>
      <c r="P61" s="49" t="s">
        <v>10</v>
      </c>
      <c r="Q61" s="49" t="s">
        <v>277</v>
      </c>
      <c r="R61" s="49">
        <v>2015</v>
      </c>
      <c r="T61" s="37" t="str" cm="1">
        <f t="array" ref="T61">IFERROR(_xlfn._xlws.FILTER(C61,E61="Tractor"),"")</f>
        <v/>
      </c>
      <c r="V61" s="37" t="str" cm="1">
        <f t="array" ref="V61">IFERROR(_xlfn._xlws.FILTER(C61,#REF!="Combine Harvester"),"")</f>
        <v/>
      </c>
      <c r="Y61" s="41" t="s">
        <v>198</v>
      </c>
      <c r="Z61" s="40" t="str">
        <f t="shared" si="0"/>
        <v>Private</v>
      </c>
      <c r="AA61" s="13"/>
      <c r="AB61" s="13"/>
    </row>
    <row r="62" spans="1:28" hidden="1">
      <c r="A62" s="52">
        <v>60</v>
      </c>
      <c r="B62" s="55" t="s">
        <v>3</v>
      </c>
      <c r="C62" s="56" t="s">
        <v>181</v>
      </c>
      <c r="D62" s="56" t="s">
        <v>32</v>
      </c>
      <c r="E62" s="55" t="s">
        <v>350</v>
      </c>
      <c r="F62" s="57" t="s">
        <v>132</v>
      </c>
      <c r="G62" s="57" t="s">
        <v>298</v>
      </c>
      <c r="H62" s="58" t="s">
        <v>200</v>
      </c>
      <c r="I62" s="55" t="s">
        <v>182</v>
      </c>
      <c r="J62" s="49" t="s">
        <v>29</v>
      </c>
      <c r="K62" s="49" t="s">
        <v>359</v>
      </c>
      <c r="L62" s="49"/>
      <c r="M62" s="49" t="s">
        <v>277</v>
      </c>
      <c r="N62" s="49">
        <v>2015</v>
      </c>
      <c r="O62" s="49" t="s">
        <v>53</v>
      </c>
      <c r="P62" s="49" t="s">
        <v>10</v>
      </c>
      <c r="Q62" s="49" t="s">
        <v>277</v>
      </c>
      <c r="R62" s="49">
        <v>2015</v>
      </c>
      <c r="T62" s="37" t="str" cm="1">
        <f t="array" ref="T62">IFERROR(_xlfn._xlws.FILTER(C62,E62="Tractor"),"")</f>
        <v/>
      </c>
      <c r="V62" s="37" t="str" cm="1">
        <f t="array" ref="V62">IFERROR(_xlfn._xlws.FILTER(C62,#REF!="Combine Harvester"),"")</f>
        <v/>
      </c>
      <c r="Y62" s="41" t="s">
        <v>162</v>
      </c>
      <c r="Z62" s="40" t="str">
        <f t="shared" si="0"/>
        <v>Private</v>
      </c>
      <c r="AA62" s="13"/>
      <c r="AB62" s="13"/>
    </row>
    <row r="63" spans="1:28" ht="43.5" hidden="1">
      <c r="A63" s="52">
        <v>61</v>
      </c>
      <c r="B63" s="55" t="s">
        <v>14</v>
      </c>
      <c r="C63" s="56" t="s">
        <v>81</v>
      </c>
      <c r="D63" s="56" t="s">
        <v>32</v>
      </c>
      <c r="E63" s="55" t="s">
        <v>350</v>
      </c>
      <c r="F63" s="57" t="s">
        <v>25</v>
      </c>
      <c r="G63" s="60" t="s">
        <v>302</v>
      </c>
      <c r="H63" s="58" t="s">
        <v>82</v>
      </c>
      <c r="I63" s="55" t="s">
        <v>83</v>
      </c>
      <c r="J63" s="49" t="s">
        <v>22</v>
      </c>
      <c r="K63" s="49">
        <v>6125</v>
      </c>
      <c r="L63" s="49"/>
      <c r="M63" s="49" t="s">
        <v>281</v>
      </c>
      <c r="N63" s="49">
        <v>2016</v>
      </c>
      <c r="O63" s="49" t="s">
        <v>53</v>
      </c>
      <c r="P63" s="49" t="s">
        <v>10</v>
      </c>
      <c r="Q63" s="49" t="s">
        <v>277</v>
      </c>
      <c r="R63" s="49">
        <v>2016</v>
      </c>
      <c r="T63" s="37" t="str" cm="1">
        <f t="array" ref="T63">IFERROR(_xlfn._xlws.FILTER(C63,E63="Tractor"),"")</f>
        <v/>
      </c>
      <c r="V63" s="37" t="str" cm="1">
        <f t="array" ref="V63">IFERROR(_xlfn._xlws.FILTER(C63,#REF!="Combine Harvester"),"")</f>
        <v/>
      </c>
      <c r="Y63" s="41" t="s">
        <v>191</v>
      </c>
      <c r="Z63" s="40" t="str">
        <f t="shared" si="0"/>
        <v>Private</v>
      </c>
      <c r="AA63" s="13"/>
      <c r="AB63" s="13"/>
    </row>
    <row r="64" spans="1:28" hidden="1">
      <c r="A64" s="52">
        <v>62</v>
      </c>
      <c r="B64" s="55" t="s">
        <v>3</v>
      </c>
      <c r="C64" s="56" t="s">
        <v>181</v>
      </c>
      <c r="D64" s="56" t="s">
        <v>32</v>
      </c>
      <c r="E64" s="55" t="s">
        <v>350</v>
      </c>
      <c r="F64" s="57" t="s">
        <v>132</v>
      </c>
      <c r="G64" s="57" t="s">
        <v>298</v>
      </c>
      <c r="H64" s="58" t="s">
        <v>200</v>
      </c>
      <c r="I64" s="55" t="s">
        <v>183</v>
      </c>
      <c r="J64" s="49" t="s">
        <v>22</v>
      </c>
      <c r="K64" s="49">
        <v>6125</v>
      </c>
      <c r="L64" s="49" t="s">
        <v>361</v>
      </c>
      <c r="M64" s="49" t="s">
        <v>277</v>
      </c>
      <c r="N64" s="49">
        <v>2015</v>
      </c>
      <c r="O64" s="49" t="s">
        <v>53</v>
      </c>
      <c r="P64" s="49" t="s">
        <v>10</v>
      </c>
      <c r="Q64" s="49" t="s">
        <v>277</v>
      </c>
      <c r="R64" s="49">
        <v>2015</v>
      </c>
      <c r="T64" s="37" t="str" cm="1">
        <f t="array" ref="T64">IFERROR(_xlfn._xlws.FILTER(C64,E64="Tractor"),"")</f>
        <v/>
      </c>
      <c r="V64" s="37" t="str" cm="1">
        <f t="array" ref="V64">IFERROR(_xlfn._xlws.FILTER(C64,#REF!="Combine Harvester"),"")</f>
        <v/>
      </c>
      <c r="Y64" s="41" t="s">
        <v>166</v>
      </c>
      <c r="Z64" s="40" t="str">
        <f t="shared" si="0"/>
        <v>Private</v>
      </c>
      <c r="AA64" s="13"/>
      <c r="AB64" s="13"/>
    </row>
    <row r="65" spans="1:28" hidden="1">
      <c r="A65" s="52">
        <v>63</v>
      </c>
      <c r="B65" s="55" t="s">
        <v>14</v>
      </c>
      <c r="C65" s="56" t="s">
        <v>31</v>
      </c>
      <c r="D65" s="56" t="s">
        <v>32</v>
      </c>
      <c r="E65" s="55" t="s">
        <v>350</v>
      </c>
      <c r="F65" s="57" t="s">
        <v>25</v>
      </c>
      <c r="G65" s="60" t="s">
        <v>302</v>
      </c>
      <c r="H65" s="58" t="s">
        <v>33</v>
      </c>
      <c r="I65" s="61" t="s">
        <v>34</v>
      </c>
      <c r="J65" s="49" t="s">
        <v>22</v>
      </c>
      <c r="K65" s="49">
        <v>6125</v>
      </c>
      <c r="L65" s="49" t="s">
        <v>361</v>
      </c>
      <c r="M65" s="49" t="s">
        <v>277</v>
      </c>
      <c r="N65" s="49">
        <v>2016</v>
      </c>
      <c r="O65" s="49">
        <v>125</v>
      </c>
      <c r="P65" s="49" t="s">
        <v>10</v>
      </c>
      <c r="Q65" s="49" t="s">
        <v>277</v>
      </c>
      <c r="R65" s="49">
        <v>2016</v>
      </c>
      <c r="T65" s="37" t="str" cm="1">
        <f t="array" ref="T65">IFERROR(_xlfn._xlws.FILTER(C65,E65="Tractor"),"")</f>
        <v/>
      </c>
      <c r="V65" s="37" t="str" cm="1">
        <f t="array" ref="V65">IFERROR(_xlfn._xlws.FILTER(C65,#REF!="Combine Harvester"),"")</f>
        <v/>
      </c>
      <c r="Y65" s="41" t="s">
        <v>113</v>
      </c>
      <c r="Z65" s="40" t="str">
        <f t="shared" si="0"/>
        <v>Private</v>
      </c>
      <c r="AA65" s="13"/>
      <c r="AB65" s="13"/>
    </row>
    <row r="66" spans="1:28" ht="29" hidden="1">
      <c r="A66" s="52">
        <v>64</v>
      </c>
      <c r="B66" s="55" t="s">
        <v>23</v>
      </c>
      <c r="C66" s="58" t="s">
        <v>184</v>
      </c>
      <c r="D66" s="55" t="s">
        <v>236</v>
      </c>
      <c r="E66" s="55" t="s">
        <v>350</v>
      </c>
      <c r="F66" s="57" t="s">
        <v>306</v>
      </c>
      <c r="G66" s="57" t="s">
        <v>208</v>
      </c>
      <c r="H66" s="58" t="s">
        <v>184</v>
      </c>
      <c r="I66" s="55">
        <v>775240412</v>
      </c>
      <c r="J66" s="49" t="s">
        <v>29</v>
      </c>
      <c r="K66" s="49" t="s">
        <v>359</v>
      </c>
      <c r="L66" s="49"/>
      <c r="M66" s="49" t="s">
        <v>277</v>
      </c>
      <c r="N66" s="49">
        <v>2015</v>
      </c>
      <c r="O66" s="49" t="s">
        <v>53</v>
      </c>
      <c r="P66" s="49" t="s">
        <v>10</v>
      </c>
      <c r="Q66" s="49" t="s">
        <v>277</v>
      </c>
      <c r="R66" s="49">
        <v>2015</v>
      </c>
      <c r="T66" s="37" t="str" cm="1">
        <f t="array" ref="T66">IFERROR(_xlfn._xlws.FILTER(C66,E66="Tractor"),"")</f>
        <v/>
      </c>
      <c r="V66" s="37" t="str" cm="1">
        <f t="array" ref="V66">IFERROR(_xlfn._xlws.FILTER(C66,#REF!="Combine Harvester"),"")</f>
        <v/>
      </c>
      <c r="Y66" s="41" t="s">
        <v>335</v>
      </c>
      <c r="Z66" s="40" t="str">
        <f t="shared" si="0"/>
        <v>Private</v>
      </c>
      <c r="AA66" s="13"/>
      <c r="AB66" s="13"/>
    </row>
    <row r="67" spans="1:28" ht="29" hidden="1">
      <c r="A67" s="52">
        <v>65</v>
      </c>
      <c r="B67" s="55" t="s">
        <v>14</v>
      </c>
      <c r="C67" s="58" t="s">
        <v>84</v>
      </c>
      <c r="D67" s="56" t="s">
        <v>235</v>
      </c>
      <c r="E67" s="55" t="s">
        <v>350</v>
      </c>
      <c r="F67" s="55" t="s">
        <v>55</v>
      </c>
      <c r="G67" s="13" t="s">
        <v>303</v>
      </c>
      <c r="H67" s="58" t="s">
        <v>85</v>
      </c>
      <c r="I67" s="55">
        <v>775133615</v>
      </c>
      <c r="J67" s="49" t="s">
        <v>9</v>
      </c>
      <c r="K67" s="49" t="s">
        <v>356</v>
      </c>
      <c r="L67" s="49"/>
      <c r="M67" s="49" t="s">
        <v>277</v>
      </c>
      <c r="N67" s="49">
        <v>2019</v>
      </c>
      <c r="O67" s="49">
        <v>100</v>
      </c>
      <c r="P67" s="49" t="s">
        <v>10</v>
      </c>
      <c r="Q67" s="49" t="s">
        <v>277</v>
      </c>
      <c r="R67" s="49">
        <v>2019</v>
      </c>
      <c r="T67" s="37" t="str" cm="1">
        <f t="array" ref="T67">IFERROR(_xlfn._xlws.FILTER(C67,E67="Tractor"),"")</f>
        <v/>
      </c>
      <c r="V67" s="37" t="str" cm="1">
        <f t="array" ref="V67">IFERROR(_xlfn._xlws.FILTER(C67,#REF!="Combine Harvester"),"")</f>
        <v/>
      </c>
      <c r="Y67" s="41" t="s">
        <v>336</v>
      </c>
      <c r="Z67" s="40" t="str">
        <f t="shared" si="0"/>
        <v>Private</v>
      </c>
      <c r="AA67" s="13"/>
      <c r="AB67" s="13"/>
    </row>
    <row r="68" spans="1:28" hidden="1">
      <c r="A68" s="52">
        <v>66</v>
      </c>
      <c r="B68" s="55" t="s">
        <v>3</v>
      </c>
      <c r="C68" s="56" t="s">
        <v>185</v>
      </c>
      <c r="D68" s="56" t="s">
        <v>32</v>
      </c>
      <c r="E68" s="55" t="s">
        <v>350</v>
      </c>
      <c r="F68" s="57" t="s">
        <v>114</v>
      </c>
      <c r="G68" s="55" t="s">
        <v>300</v>
      </c>
      <c r="H68" s="58" t="s">
        <v>186</v>
      </c>
      <c r="I68" s="55" t="s">
        <v>187</v>
      </c>
      <c r="J68" s="49" t="s">
        <v>22</v>
      </c>
      <c r="K68" s="49">
        <v>6125</v>
      </c>
      <c r="L68" s="49" t="s">
        <v>361</v>
      </c>
      <c r="M68" s="49" t="s">
        <v>277</v>
      </c>
      <c r="N68" s="49">
        <v>2016</v>
      </c>
      <c r="O68" s="49">
        <v>120</v>
      </c>
      <c r="P68" s="49" t="s">
        <v>10</v>
      </c>
      <c r="Q68" s="49" t="s">
        <v>277</v>
      </c>
      <c r="R68" s="49">
        <v>2016</v>
      </c>
      <c r="T68" s="37" t="str" cm="1">
        <f t="array" ref="T68">IFERROR(_xlfn._xlws.FILTER(C68,E68="Tractor"),"")</f>
        <v/>
      </c>
      <c r="V68" s="37" t="str" cm="1">
        <f t="array" ref="V68">IFERROR(_xlfn._xlws.FILTER(C68,#REF!="Combine Harvester"),"")</f>
        <v/>
      </c>
      <c r="Y68" s="41" t="s">
        <v>337</v>
      </c>
      <c r="Z68" s="40" t="str">
        <f t="shared" ref="Z68:Z75" si="2">_xlfn.XLOOKUP(Y68,$C$3:$C$94,$D$3:$D$94,"")</f>
        <v>Private</v>
      </c>
      <c r="AA68" s="13"/>
      <c r="AB68" s="13"/>
    </row>
    <row r="69" spans="1:28" hidden="1">
      <c r="A69" s="52">
        <v>67</v>
      </c>
      <c r="B69" s="55" t="s">
        <v>14</v>
      </c>
      <c r="C69" s="56" t="s">
        <v>86</v>
      </c>
      <c r="D69" s="56" t="s">
        <v>32</v>
      </c>
      <c r="E69" s="55" t="s">
        <v>350</v>
      </c>
      <c r="F69" s="57" t="s">
        <v>55</v>
      </c>
      <c r="G69" s="13" t="s">
        <v>303</v>
      </c>
      <c r="H69" s="58" t="s">
        <v>85</v>
      </c>
      <c r="I69" s="55" t="s">
        <v>87</v>
      </c>
      <c r="J69" s="49" t="s">
        <v>29</v>
      </c>
      <c r="K69" s="49" t="s">
        <v>359</v>
      </c>
      <c r="L69" s="49"/>
      <c r="M69" s="49" t="s">
        <v>277</v>
      </c>
      <c r="N69" s="49">
        <v>2015</v>
      </c>
      <c r="O69" s="49" t="s">
        <v>30</v>
      </c>
      <c r="P69" s="49" t="s">
        <v>10</v>
      </c>
      <c r="Q69" s="49" t="s">
        <v>277</v>
      </c>
      <c r="R69" s="49">
        <v>2015</v>
      </c>
      <c r="T69" s="37" t="str" cm="1">
        <f t="array" ref="T69">IFERROR(_xlfn._xlws.FILTER(C69,E69="Tractor"),"")</f>
        <v/>
      </c>
      <c r="V69" s="37" t="str" cm="1">
        <f t="array" ref="V69">IFERROR(_xlfn._xlws.FILTER(C69,#REF!="Combine Harvester"),"")</f>
        <v/>
      </c>
      <c r="Y69" s="41" t="s">
        <v>338</v>
      </c>
      <c r="Z69" s="40" t="str">
        <f t="shared" si="2"/>
        <v>Private</v>
      </c>
      <c r="AA69" s="13"/>
      <c r="AB69" s="13"/>
    </row>
    <row r="70" spans="1:28" ht="24" hidden="1">
      <c r="A70" s="52">
        <v>68</v>
      </c>
      <c r="B70" s="55" t="s">
        <v>3</v>
      </c>
      <c r="C70" s="56" t="s">
        <v>188</v>
      </c>
      <c r="D70" s="55" t="s">
        <v>236</v>
      </c>
      <c r="E70" s="55" t="s">
        <v>350</v>
      </c>
      <c r="F70" s="57" t="s">
        <v>154</v>
      </c>
      <c r="G70" s="57" t="s">
        <v>297</v>
      </c>
      <c r="H70" s="58" t="s">
        <v>189</v>
      </c>
      <c r="I70" s="55" t="s">
        <v>190</v>
      </c>
      <c r="J70" s="49" t="s">
        <v>22</v>
      </c>
      <c r="K70" s="49">
        <v>6125</v>
      </c>
      <c r="L70" s="49" t="s">
        <v>361</v>
      </c>
      <c r="M70" s="49" t="s">
        <v>277</v>
      </c>
      <c r="N70" s="49">
        <v>2015</v>
      </c>
      <c r="O70" s="49">
        <v>125</v>
      </c>
      <c r="P70" s="49" t="s">
        <v>10</v>
      </c>
      <c r="Q70" s="49" t="s">
        <v>279</v>
      </c>
      <c r="R70" s="49"/>
      <c r="T70" s="37" t="str" cm="1">
        <f t="array" ref="T70">IFERROR(_xlfn._xlws.FILTER(C70,E70="Tractor"),"")</f>
        <v/>
      </c>
      <c r="V70" s="37" t="str" cm="1">
        <f t="array" ref="V70">IFERROR(_xlfn._xlws.FILTER(C70,#REF!="Combine Harvester"),"")</f>
        <v/>
      </c>
      <c r="Y70" s="41" t="s">
        <v>339</v>
      </c>
      <c r="Z70" s="40" t="str">
        <f t="shared" si="2"/>
        <v>Private</v>
      </c>
      <c r="AA70" s="13"/>
      <c r="AB70" s="13"/>
    </row>
    <row r="71" spans="1:28" hidden="1">
      <c r="A71" s="52">
        <v>69</v>
      </c>
      <c r="B71" s="55" t="s">
        <v>14</v>
      </c>
      <c r="C71" s="56" t="s">
        <v>86</v>
      </c>
      <c r="D71" s="56" t="s">
        <v>32</v>
      </c>
      <c r="E71" s="55" t="s">
        <v>350</v>
      </c>
      <c r="F71" s="57" t="s">
        <v>55</v>
      </c>
      <c r="G71" s="13" t="s">
        <v>303</v>
      </c>
      <c r="H71" s="58" t="s">
        <v>85</v>
      </c>
      <c r="I71" s="55" t="s">
        <v>88</v>
      </c>
      <c r="J71" s="49" t="s">
        <v>22</v>
      </c>
      <c r="K71" s="49">
        <v>6125</v>
      </c>
      <c r="L71" s="49"/>
      <c r="M71" s="49" t="s">
        <v>281</v>
      </c>
      <c r="N71" s="49">
        <v>2017</v>
      </c>
      <c r="O71" s="49">
        <v>125</v>
      </c>
      <c r="P71" s="49" t="s">
        <v>10</v>
      </c>
      <c r="Q71" s="49" t="s">
        <v>277</v>
      </c>
      <c r="R71" s="49">
        <v>2017</v>
      </c>
      <c r="T71" s="37" t="str" cm="1">
        <f t="array" ref="T71">IFERROR(_xlfn._xlws.FILTER(C71,E71="Tractor"),"")</f>
        <v/>
      </c>
      <c r="V71" s="37" t="str" cm="1">
        <f t="array" ref="V71">IFERROR(_xlfn._xlws.FILTER(C71,#REF!="Combine Harvester"),"")</f>
        <v/>
      </c>
      <c r="Y71" s="41" t="s">
        <v>340</v>
      </c>
      <c r="Z71" s="40" t="str">
        <f t="shared" si="2"/>
        <v>Private</v>
      </c>
      <c r="AA71" s="13"/>
      <c r="AB71" s="13"/>
    </row>
    <row r="72" spans="1:28" ht="24" hidden="1">
      <c r="A72" s="52">
        <v>70</v>
      </c>
      <c r="B72" s="55" t="s">
        <v>23</v>
      </c>
      <c r="C72" s="58" t="s">
        <v>191</v>
      </c>
      <c r="D72" s="55" t="s">
        <v>236</v>
      </c>
      <c r="E72" s="55" t="s">
        <v>350</v>
      </c>
      <c r="F72" s="55" t="s">
        <v>165</v>
      </c>
      <c r="G72" s="57" t="s">
        <v>208</v>
      </c>
      <c r="H72" s="58" t="s">
        <v>192</v>
      </c>
      <c r="I72" s="55">
        <v>776391268</v>
      </c>
      <c r="J72" s="49" t="s">
        <v>9</v>
      </c>
      <c r="K72" s="49" t="s">
        <v>356</v>
      </c>
      <c r="L72" s="49"/>
      <c r="M72" s="49" t="s">
        <v>277</v>
      </c>
      <c r="N72" s="49">
        <v>2019</v>
      </c>
      <c r="O72" s="49">
        <v>100</v>
      </c>
      <c r="P72" s="49" t="s">
        <v>10</v>
      </c>
      <c r="Q72" s="49" t="s">
        <v>277</v>
      </c>
      <c r="R72" s="49">
        <v>2019</v>
      </c>
      <c r="T72" s="37" t="str" cm="1">
        <f t="array" ref="T72">IFERROR(_xlfn._xlws.FILTER(C72,E72="Tractor"),"")</f>
        <v/>
      </c>
      <c r="V72" s="37" t="str" cm="1">
        <f t="array" ref="V72">IFERROR(_xlfn._xlws.FILTER(C72,#REF!="Combine Harvester"),"")</f>
        <v/>
      </c>
      <c r="Y72" s="41" t="s">
        <v>341</v>
      </c>
      <c r="Z72" s="40" t="str">
        <f t="shared" si="2"/>
        <v>Private</v>
      </c>
      <c r="AA72" s="13"/>
      <c r="AB72" s="13"/>
    </row>
    <row r="73" spans="1:28" hidden="1">
      <c r="A73" s="52">
        <v>71</v>
      </c>
      <c r="B73" s="55" t="s">
        <v>14</v>
      </c>
      <c r="C73" s="66" t="s">
        <v>33</v>
      </c>
      <c r="D73" s="56" t="s">
        <v>235</v>
      </c>
      <c r="E73" s="55" t="s">
        <v>350</v>
      </c>
      <c r="F73" s="67" t="s">
        <v>25</v>
      </c>
      <c r="G73" s="60" t="s">
        <v>302</v>
      </c>
      <c r="H73" s="66" t="s">
        <v>33</v>
      </c>
      <c r="I73" s="68" t="s">
        <v>34</v>
      </c>
      <c r="J73" s="49" t="s">
        <v>29</v>
      </c>
      <c r="K73" s="49" t="s">
        <v>359</v>
      </c>
      <c r="L73" s="49"/>
      <c r="M73" s="49" t="s">
        <v>277</v>
      </c>
      <c r="N73" s="49">
        <v>2016</v>
      </c>
      <c r="O73" s="49" t="s">
        <v>30</v>
      </c>
      <c r="P73" s="49" t="s">
        <v>10</v>
      </c>
      <c r="Q73" s="49" t="s">
        <v>278</v>
      </c>
      <c r="R73" s="49" t="s">
        <v>278</v>
      </c>
      <c r="T73" s="37" t="str" cm="1">
        <f t="array" ref="T73">IFERROR(_xlfn._xlws.FILTER(C73,E73="Tractor"),"")</f>
        <v/>
      </c>
      <c r="V73" s="37" t="str" cm="1">
        <f t="array" ref="V73">IFERROR(_xlfn._xlws.FILTER(C73,#REF!="Combine Harvester"),"")</f>
        <v/>
      </c>
      <c r="Y73" s="41" t="s">
        <v>342</v>
      </c>
      <c r="Z73" s="40" t="str">
        <f t="shared" si="2"/>
        <v>Private</v>
      </c>
      <c r="AA73" s="13"/>
      <c r="AB73" s="13"/>
    </row>
    <row r="74" spans="1:28" ht="29" hidden="1">
      <c r="A74" s="52">
        <v>72</v>
      </c>
      <c r="B74" s="55" t="s">
        <v>23</v>
      </c>
      <c r="C74" s="58" t="s">
        <v>191</v>
      </c>
      <c r="D74" s="55" t="s">
        <v>236</v>
      </c>
      <c r="E74" s="55" t="s">
        <v>350</v>
      </c>
      <c r="F74" s="55" t="s">
        <v>165</v>
      </c>
      <c r="G74" s="55" t="s">
        <v>208</v>
      </c>
      <c r="H74" s="58" t="s">
        <v>192</v>
      </c>
      <c r="I74" s="55">
        <v>776391269</v>
      </c>
      <c r="J74" s="49" t="s">
        <v>22</v>
      </c>
      <c r="K74" s="49">
        <v>6125</v>
      </c>
      <c r="L74" s="49"/>
      <c r="M74" s="49" t="s">
        <v>277</v>
      </c>
      <c r="N74" s="49">
        <v>2015</v>
      </c>
      <c r="O74" s="49">
        <v>125</v>
      </c>
      <c r="P74" s="49" t="s">
        <v>10</v>
      </c>
      <c r="Q74" s="49" t="s">
        <v>277</v>
      </c>
      <c r="R74" s="49">
        <v>2015</v>
      </c>
      <c r="T74" s="37" t="str" cm="1">
        <f t="array" ref="T74">IFERROR(_xlfn._xlws.FILTER(C74,E74="Tractor"),"")</f>
        <v/>
      </c>
      <c r="V74" s="37" t="str" cm="1">
        <f t="array" ref="V74">IFERROR(_xlfn._xlws.FILTER(C74,#REF!="Combine Harvester"),"")</f>
        <v/>
      </c>
      <c r="Y74" s="41" t="s">
        <v>343</v>
      </c>
      <c r="Z74" s="40" t="str">
        <f t="shared" si="2"/>
        <v>Union</v>
      </c>
      <c r="AA74" s="13"/>
      <c r="AB74" s="13"/>
    </row>
    <row r="75" spans="1:28" hidden="1">
      <c r="A75" s="52">
        <v>73</v>
      </c>
      <c r="B75" s="55" t="s">
        <v>14</v>
      </c>
      <c r="C75" s="66" t="s">
        <v>33</v>
      </c>
      <c r="D75" s="56" t="s">
        <v>235</v>
      </c>
      <c r="E75" s="55" t="s">
        <v>350</v>
      </c>
      <c r="F75" s="67" t="s">
        <v>25</v>
      </c>
      <c r="G75" s="60" t="s">
        <v>302</v>
      </c>
      <c r="H75" s="66" t="s">
        <v>33</v>
      </c>
      <c r="I75" s="68" t="s">
        <v>34</v>
      </c>
      <c r="J75" s="49" t="s">
        <v>22</v>
      </c>
      <c r="K75" s="49">
        <v>6125</v>
      </c>
      <c r="L75" s="49"/>
      <c r="M75" s="49" t="s">
        <v>277</v>
      </c>
      <c r="N75" s="49">
        <v>2016</v>
      </c>
      <c r="O75" s="49">
        <v>125</v>
      </c>
      <c r="P75" s="49" t="s">
        <v>104</v>
      </c>
      <c r="Q75" s="49" t="s">
        <v>278</v>
      </c>
      <c r="R75" s="49" t="s">
        <v>278</v>
      </c>
      <c r="T75" s="37" t="str" cm="1">
        <f t="array" ref="T75">IFERROR(_xlfn._xlws.FILTER(C75,E75="Tractor"),"")</f>
        <v/>
      </c>
      <c r="V75" s="37" t="str" cm="1">
        <f t="array" ref="V75">IFERROR(_xlfn._xlws.FILTER(C75,#REF!="Combine Harvester"),"")</f>
        <v/>
      </c>
      <c r="Y75" s="41" t="s">
        <v>157</v>
      </c>
      <c r="Z75" s="40" t="str">
        <f t="shared" si="2"/>
        <v>Union</v>
      </c>
      <c r="AA75" s="13"/>
      <c r="AB75" s="13"/>
    </row>
    <row r="76" spans="1:28" hidden="1">
      <c r="A76" s="52">
        <v>74</v>
      </c>
      <c r="B76" s="55" t="s">
        <v>23</v>
      </c>
      <c r="C76" s="66" t="s">
        <v>193</v>
      </c>
      <c r="D76" s="55" t="s">
        <v>236</v>
      </c>
      <c r="E76" s="55" t="s">
        <v>350</v>
      </c>
      <c r="F76" s="57" t="s">
        <v>154</v>
      </c>
      <c r="G76" s="57" t="s">
        <v>297</v>
      </c>
      <c r="H76" s="69" t="s">
        <v>194</v>
      </c>
      <c r="I76" s="55">
        <v>783251079</v>
      </c>
      <c r="J76" s="49" t="s">
        <v>9</v>
      </c>
      <c r="K76" s="49" t="s">
        <v>356</v>
      </c>
      <c r="L76" s="49"/>
      <c r="M76" s="49" t="s">
        <v>277</v>
      </c>
      <c r="N76" s="49">
        <v>2019</v>
      </c>
      <c r="O76" s="49">
        <v>100</v>
      </c>
      <c r="P76" s="49" t="s">
        <v>10</v>
      </c>
      <c r="Q76" s="49" t="s">
        <v>277</v>
      </c>
      <c r="R76" s="49">
        <v>2019</v>
      </c>
      <c r="T76" s="37" t="str" cm="1">
        <f t="array" ref="T76">IFERROR(_xlfn._xlws.FILTER(C76,E76="Tractor"),"")</f>
        <v/>
      </c>
      <c r="V76" s="37" t="str" cm="1">
        <f t="array" ref="V76">IFERROR(_xlfn._xlws.FILTER(C76,#REF!="Combine Harvester"),"")</f>
        <v/>
      </c>
    </row>
    <row r="77" spans="1:28" hidden="1">
      <c r="A77" s="52">
        <v>75</v>
      </c>
      <c r="B77" s="55" t="s">
        <v>14</v>
      </c>
      <c r="C77" s="66" t="s">
        <v>89</v>
      </c>
      <c r="D77" s="56" t="s">
        <v>235</v>
      </c>
      <c r="E77" s="55" t="s">
        <v>350</v>
      </c>
      <c r="F77" s="67" t="s">
        <v>21</v>
      </c>
      <c r="G77" s="60" t="s">
        <v>302</v>
      </c>
      <c r="H77" s="69" t="s">
        <v>89</v>
      </c>
      <c r="I77" s="68" t="s">
        <v>90</v>
      </c>
      <c r="J77" s="49" t="s">
        <v>53</v>
      </c>
      <c r="K77" s="49" t="s">
        <v>368</v>
      </c>
      <c r="L77" s="49"/>
      <c r="M77" s="49" t="s">
        <v>277</v>
      </c>
      <c r="N77" s="49">
        <v>2017</v>
      </c>
      <c r="O77" s="49"/>
      <c r="P77" s="49" t="s">
        <v>10</v>
      </c>
      <c r="Q77" s="49" t="s">
        <v>277</v>
      </c>
      <c r="R77" s="49">
        <v>2017</v>
      </c>
      <c r="T77" s="37" t="str" cm="1">
        <f t="array" ref="T77">IFERROR(_xlfn._xlws.FILTER(C77,E77="Tractor"),"")</f>
        <v/>
      </c>
      <c r="V77" s="37" t="str" cm="1">
        <f t="array" ref="V77">IFERROR(_xlfn._xlws.FILTER(C77,#REF!="Combine Harvester"),"")</f>
        <v/>
      </c>
      <c r="Y77" s="42" t="s">
        <v>344</v>
      </c>
      <c r="Z77" s="42">
        <f>COUNTIF($Z$3:$Z$75,Y77)</f>
        <v>14</v>
      </c>
      <c r="AA77" s="42" t="s">
        <v>344</v>
      </c>
      <c r="AB77" s="42">
        <f>COUNTIF($AB$3:$AB$75,AA77)</f>
        <v>4</v>
      </c>
    </row>
    <row r="78" spans="1:28" hidden="1">
      <c r="A78" s="52">
        <v>76</v>
      </c>
      <c r="B78" s="55" t="s">
        <v>23</v>
      </c>
      <c r="C78" s="66" t="s">
        <v>195</v>
      </c>
      <c r="D78" s="55" t="s">
        <v>236</v>
      </c>
      <c r="E78" s="55" t="s">
        <v>350</v>
      </c>
      <c r="F78" s="57" t="s">
        <v>154</v>
      </c>
      <c r="G78" s="57" t="s">
        <v>297</v>
      </c>
      <c r="H78" s="66" t="s">
        <v>195</v>
      </c>
      <c r="I78" s="55">
        <v>775630834</v>
      </c>
      <c r="J78" s="49" t="s">
        <v>9</v>
      </c>
      <c r="K78" s="49" t="s">
        <v>356</v>
      </c>
      <c r="L78" s="49"/>
      <c r="M78" s="49" t="s">
        <v>277</v>
      </c>
      <c r="N78" s="49">
        <v>2019</v>
      </c>
      <c r="O78" s="49" t="s">
        <v>30</v>
      </c>
      <c r="P78" s="49" t="s">
        <v>10</v>
      </c>
      <c r="Q78" s="49" t="s">
        <v>277</v>
      </c>
      <c r="R78" s="49">
        <v>2019</v>
      </c>
      <c r="T78" s="37" t="str" cm="1">
        <f t="array" ref="T78">IFERROR(_xlfn._xlws.FILTER(C78,E78="Tractor"),"")</f>
        <v/>
      </c>
      <c r="V78" s="37" t="str" cm="1">
        <f t="array" ref="V78">IFERROR(_xlfn._xlws.FILTER(C78,#REF!="Combine Harvester"),"")</f>
        <v/>
      </c>
      <c r="Y78" s="42" t="s">
        <v>345</v>
      </c>
      <c r="Z78" s="42">
        <f>COUNTIF($Z$3:$Z$75,Y78)</f>
        <v>59</v>
      </c>
      <c r="AA78" s="42" t="s">
        <v>345</v>
      </c>
      <c r="AB78" s="42">
        <f>COUNTIF($AB$3:$AB$75,AA78)</f>
        <v>4</v>
      </c>
    </row>
    <row r="79" spans="1:28" hidden="1">
      <c r="A79" s="52">
        <v>77</v>
      </c>
      <c r="B79" s="55" t="s">
        <v>14</v>
      </c>
      <c r="C79" s="66" t="s">
        <v>89</v>
      </c>
      <c r="D79" s="56" t="s">
        <v>235</v>
      </c>
      <c r="E79" s="55" t="s">
        <v>350</v>
      </c>
      <c r="F79" s="67" t="s">
        <v>21</v>
      </c>
      <c r="G79" s="60" t="s">
        <v>302</v>
      </c>
      <c r="H79" s="69" t="s">
        <v>89</v>
      </c>
      <c r="I79" s="68" t="s">
        <v>90</v>
      </c>
      <c r="J79" s="49" t="s">
        <v>53</v>
      </c>
      <c r="K79" s="49" t="s">
        <v>368</v>
      </c>
      <c r="L79" s="49"/>
      <c r="M79" s="49" t="s">
        <v>277</v>
      </c>
      <c r="N79" s="49">
        <v>2017</v>
      </c>
      <c r="O79" s="73"/>
      <c r="P79" s="49" t="s">
        <v>10</v>
      </c>
      <c r="Q79" s="49" t="s">
        <v>277</v>
      </c>
      <c r="R79" s="49">
        <v>2017</v>
      </c>
      <c r="T79" s="37" t="str" cm="1">
        <f t="array" ref="T79">IFERROR(_xlfn._xlws.FILTER(C79,E79="Tractor"),"")</f>
        <v/>
      </c>
      <c r="V79" s="37" t="str" cm="1">
        <f t="array" ref="V79">IFERROR(_xlfn._xlws.FILTER(C79,#REF!="Combine Harvester"),"")</f>
        <v/>
      </c>
    </row>
    <row r="80" spans="1:28" hidden="1">
      <c r="A80" s="52">
        <v>78</v>
      </c>
      <c r="B80" s="55" t="s">
        <v>23</v>
      </c>
      <c r="C80" s="66" t="s">
        <v>196</v>
      </c>
      <c r="D80" s="55" t="s">
        <v>236</v>
      </c>
      <c r="E80" s="55" t="s">
        <v>350</v>
      </c>
      <c r="F80" s="67" t="s">
        <v>132</v>
      </c>
      <c r="G80" s="57" t="s">
        <v>298</v>
      </c>
      <c r="H80" s="69" t="s">
        <v>197</v>
      </c>
      <c r="I80" s="55">
        <v>775604264</v>
      </c>
      <c r="J80" s="49" t="s">
        <v>22</v>
      </c>
      <c r="K80" s="49">
        <v>6125</v>
      </c>
      <c r="L80" s="49"/>
      <c r="M80" s="49" t="s">
        <v>277</v>
      </c>
      <c r="N80" s="49">
        <v>2019</v>
      </c>
      <c r="O80" s="49">
        <v>125</v>
      </c>
      <c r="P80" s="49" t="s">
        <v>10</v>
      </c>
      <c r="Q80" s="49" t="s">
        <v>277</v>
      </c>
      <c r="R80" s="49">
        <v>2019</v>
      </c>
      <c r="T80" s="37" t="str" cm="1">
        <f t="array" ref="T80">IFERROR(_xlfn._xlws.FILTER(C80,E80="Tractor"),"")</f>
        <v/>
      </c>
      <c r="V80" s="37" t="str" cm="1">
        <f t="array" ref="V80">IFERROR(_xlfn._xlws.FILTER(C80,#REF!="Combine Harvester"),"")</f>
        <v/>
      </c>
    </row>
    <row r="81" spans="1:22" hidden="1">
      <c r="A81" s="52">
        <v>79</v>
      </c>
      <c r="B81" s="55" t="s">
        <v>14</v>
      </c>
      <c r="C81" s="72" t="s">
        <v>91</v>
      </c>
      <c r="D81" s="56" t="s">
        <v>235</v>
      </c>
      <c r="E81" s="55" t="s">
        <v>350</v>
      </c>
      <c r="F81" s="55" t="s">
        <v>55</v>
      </c>
      <c r="G81" s="13" t="s">
        <v>303</v>
      </c>
      <c r="H81" s="58" t="s">
        <v>92</v>
      </c>
      <c r="I81" s="55" t="s">
        <v>93</v>
      </c>
      <c r="J81" s="49" t="s">
        <v>9</v>
      </c>
      <c r="K81" s="49" t="s">
        <v>356</v>
      </c>
      <c r="L81" s="49"/>
      <c r="M81" s="73" t="s">
        <v>277</v>
      </c>
      <c r="N81" s="49" t="s">
        <v>278</v>
      </c>
      <c r="O81" s="73">
        <v>100</v>
      </c>
      <c r="P81" s="73"/>
      <c r="Q81" s="49" t="s">
        <v>278</v>
      </c>
      <c r="R81" s="49" t="s">
        <v>278</v>
      </c>
      <c r="T81" s="37" t="str" cm="1">
        <f t="array" ref="T81">IFERROR(_xlfn._xlws.FILTER(C81,E81="Tractor"),"")</f>
        <v/>
      </c>
      <c r="V81" s="37" t="str" cm="1">
        <f t="array" ref="V81">IFERROR(_xlfn._xlws.FILTER(C81,#REF!="Combine Harvester"),"")</f>
        <v/>
      </c>
    </row>
    <row r="82" spans="1:22" hidden="1">
      <c r="A82" s="52">
        <v>80</v>
      </c>
      <c r="B82" s="55" t="s">
        <v>23</v>
      </c>
      <c r="C82" s="66" t="s">
        <v>198</v>
      </c>
      <c r="D82" s="55" t="s">
        <v>236</v>
      </c>
      <c r="E82" s="55" t="s">
        <v>350</v>
      </c>
      <c r="F82" s="57" t="s">
        <v>306</v>
      </c>
      <c r="G82" s="57" t="s">
        <v>208</v>
      </c>
      <c r="H82" s="66" t="s">
        <v>198</v>
      </c>
      <c r="I82" s="55">
        <v>775712977</v>
      </c>
      <c r="J82" s="49"/>
      <c r="K82" s="49"/>
      <c r="L82" s="49"/>
      <c r="M82" s="49" t="s">
        <v>279</v>
      </c>
      <c r="N82" s="49" t="s">
        <v>278</v>
      </c>
      <c r="O82" s="49"/>
      <c r="P82" s="49"/>
      <c r="Q82" s="49"/>
      <c r="R82" s="49"/>
      <c r="T82" s="37" t="str" cm="1">
        <f t="array" ref="T82">IFERROR(_xlfn._xlws.FILTER(C82,E82="Tractor"),"")</f>
        <v/>
      </c>
      <c r="V82" s="37" t="str" cm="1">
        <f t="array" ref="V82">IFERROR(_xlfn._xlws.FILTER(C82,#REF!="Combine Harvester"),"")</f>
        <v/>
      </c>
    </row>
    <row r="83" spans="1:22" hidden="1">
      <c r="A83" s="52">
        <v>81</v>
      </c>
      <c r="B83" s="55" t="s">
        <v>14</v>
      </c>
      <c r="C83" s="72" t="s">
        <v>94</v>
      </c>
      <c r="D83" s="56" t="s">
        <v>235</v>
      </c>
      <c r="E83" s="55" t="s">
        <v>350</v>
      </c>
      <c r="F83" s="55" t="s">
        <v>55</v>
      </c>
      <c r="G83" s="13" t="s">
        <v>303</v>
      </c>
      <c r="H83" s="58" t="s">
        <v>94</v>
      </c>
      <c r="I83" s="55" t="s">
        <v>211</v>
      </c>
      <c r="J83" s="64" t="s">
        <v>9</v>
      </c>
      <c r="K83" s="49" t="s">
        <v>356</v>
      </c>
      <c r="L83" s="73"/>
      <c r="M83" s="73" t="s">
        <v>277</v>
      </c>
      <c r="N83" s="49" t="s">
        <v>278</v>
      </c>
      <c r="O83" s="73" t="s">
        <v>30</v>
      </c>
      <c r="P83" s="73"/>
      <c r="Q83" s="49" t="s">
        <v>278</v>
      </c>
      <c r="R83" s="49" t="s">
        <v>278</v>
      </c>
      <c r="T83" s="37" t="str" cm="1">
        <f t="array" ref="T83">IFERROR(_xlfn._xlws.FILTER(C83,E83="Tractor"),"")</f>
        <v/>
      </c>
      <c r="V83" s="37" t="str" cm="1">
        <f t="array" ref="V83">IFERROR(_xlfn._xlws.FILTER(C83,#REF!="Combine Harvester"),"")</f>
        <v/>
      </c>
    </row>
    <row r="84" spans="1:22" hidden="1">
      <c r="A84" s="52">
        <v>82</v>
      </c>
      <c r="B84" s="55" t="s">
        <v>14</v>
      </c>
      <c r="C84" s="72" t="s">
        <v>95</v>
      </c>
      <c r="D84" s="56" t="s">
        <v>235</v>
      </c>
      <c r="E84" s="55" t="s">
        <v>350</v>
      </c>
      <c r="F84" s="55" t="s">
        <v>78</v>
      </c>
      <c r="G84" s="13" t="s">
        <v>301</v>
      </c>
      <c r="H84" s="58" t="s">
        <v>96</v>
      </c>
      <c r="I84" s="55" t="s">
        <v>97</v>
      </c>
      <c r="J84" s="49" t="s">
        <v>9</v>
      </c>
      <c r="K84" s="49" t="s">
        <v>356</v>
      </c>
      <c r="L84" s="49"/>
      <c r="M84" s="73" t="s">
        <v>279</v>
      </c>
      <c r="N84" s="49" t="s">
        <v>278</v>
      </c>
      <c r="O84" s="73">
        <v>100</v>
      </c>
      <c r="P84" s="73"/>
      <c r="Q84" s="49" t="s">
        <v>278</v>
      </c>
      <c r="R84" s="49" t="s">
        <v>278</v>
      </c>
      <c r="T84" s="37" t="str" cm="1">
        <f t="array" ref="T84">IFERROR(_xlfn._xlws.FILTER(C84,E84="Tractor"),"")</f>
        <v/>
      </c>
      <c r="V84" s="37" t="str" cm="1">
        <f t="array" ref="V84">IFERROR(_xlfn._xlws.FILTER(C84,#REF!="Combine Harvester"),"")</f>
        <v/>
      </c>
    </row>
    <row r="85" spans="1:22" hidden="1">
      <c r="A85" s="52">
        <v>83</v>
      </c>
      <c r="B85" s="55" t="s">
        <v>14</v>
      </c>
      <c r="C85" s="72" t="s">
        <v>99</v>
      </c>
      <c r="D85" s="56" t="s">
        <v>235</v>
      </c>
      <c r="E85" s="55" t="s">
        <v>350</v>
      </c>
      <c r="F85" s="55" t="s">
        <v>98</v>
      </c>
      <c r="G85" s="13" t="s">
        <v>301</v>
      </c>
      <c r="H85" s="58" t="s">
        <v>99</v>
      </c>
      <c r="I85" s="55" t="s">
        <v>210</v>
      </c>
      <c r="J85" s="64" t="s">
        <v>22</v>
      </c>
      <c r="K85" s="49">
        <v>6125</v>
      </c>
      <c r="L85" s="73"/>
      <c r="M85" s="73" t="s">
        <v>279</v>
      </c>
      <c r="N85" s="49" t="s">
        <v>278</v>
      </c>
      <c r="O85" s="73">
        <v>125</v>
      </c>
      <c r="P85" s="73"/>
      <c r="Q85" s="49" t="s">
        <v>278</v>
      </c>
      <c r="R85" s="49" t="s">
        <v>278</v>
      </c>
      <c r="T85" s="37" t="str" cm="1">
        <f t="array" ref="T85">IFERROR(_xlfn._xlws.FILTER(C85,E85="Tractor"),"")</f>
        <v/>
      </c>
      <c r="V85" s="37" t="str" cm="1">
        <f t="array" ref="V85">IFERROR(_xlfn._xlws.FILTER(C85,#REF!="Combine Harvester"),"")</f>
        <v/>
      </c>
    </row>
    <row r="86" spans="1:22" hidden="1">
      <c r="A86" s="52">
        <v>84</v>
      </c>
      <c r="B86" s="55" t="s">
        <v>14</v>
      </c>
      <c r="C86" s="72" t="s">
        <v>100</v>
      </c>
      <c r="D86" s="56" t="s">
        <v>235</v>
      </c>
      <c r="E86" s="55" t="s">
        <v>350</v>
      </c>
      <c r="F86" s="55" t="s">
        <v>76</v>
      </c>
      <c r="G86" s="60" t="s">
        <v>302</v>
      </c>
      <c r="H86" s="58" t="s">
        <v>100</v>
      </c>
      <c r="I86" s="55" t="s">
        <v>212</v>
      </c>
      <c r="J86" s="49" t="s">
        <v>9</v>
      </c>
      <c r="K86" s="49" t="s">
        <v>356</v>
      </c>
      <c r="L86" s="49"/>
      <c r="M86" s="73" t="s">
        <v>277</v>
      </c>
      <c r="N86" s="49" t="s">
        <v>278</v>
      </c>
      <c r="O86" s="73">
        <v>100</v>
      </c>
      <c r="P86" s="73"/>
      <c r="Q86" s="49" t="s">
        <v>278</v>
      </c>
      <c r="R86" s="49" t="s">
        <v>278</v>
      </c>
      <c r="T86" s="37" t="str" cm="1">
        <f t="array" ref="T86">IFERROR(_xlfn._xlws.FILTER(C86,E86="Tractor"),"")</f>
        <v/>
      </c>
      <c r="V86" s="37" t="str" cm="1">
        <f t="array" ref="V86">IFERROR(_xlfn._xlws.FILTER(C86,#REF!="Combine Harvester"),"")</f>
        <v/>
      </c>
    </row>
    <row r="87" spans="1:22" hidden="1">
      <c r="A87" s="52">
        <v>85</v>
      </c>
      <c r="B87" s="55" t="s">
        <v>14</v>
      </c>
      <c r="C87" s="72" t="s">
        <v>101</v>
      </c>
      <c r="D87" s="56" t="s">
        <v>235</v>
      </c>
      <c r="E87" s="55" t="s">
        <v>350</v>
      </c>
      <c r="F87" s="55" t="s">
        <v>76</v>
      </c>
      <c r="G87" s="60" t="s">
        <v>302</v>
      </c>
      <c r="H87" s="58" t="s">
        <v>102</v>
      </c>
      <c r="I87" s="55" t="s">
        <v>213</v>
      </c>
      <c r="J87" s="64" t="s">
        <v>105</v>
      </c>
      <c r="K87" s="73" t="s">
        <v>367</v>
      </c>
      <c r="L87" s="73"/>
      <c r="M87" s="73" t="s">
        <v>280</v>
      </c>
      <c r="N87" s="49" t="s">
        <v>278</v>
      </c>
      <c r="O87" s="73"/>
      <c r="P87" s="73"/>
      <c r="Q87" s="49" t="s">
        <v>278</v>
      </c>
      <c r="R87" s="49" t="s">
        <v>278</v>
      </c>
      <c r="T87" s="37" t="str" cm="1">
        <f t="array" ref="T87">IFERROR(_xlfn._xlws.FILTER(C87,E87="Tractor"),"")</f>
        <v/>
      </c>
      <c r="V87" s="37" t="str" cm="1">
        <f t="array" ref="V87">IFERROR(_xlfn._xlws.FILTER(C87,#REF!="Combine Harvester"),"")</f>
        <v/>
      </c>
    </row>
    <row r="88" spans="1:22" hidden="1">
      <c r="A88" s="52">
        <v>86</v>
      </c>
      <c r="B88" s="55" t="s">
        <v>14</v>
      </c>
      <c r="C88" s="72" t="s">
        <v>103</v>
      </c>
      <c r="D88" s="56" t="s">
        <v>235</v>
      </c>
      <c r="E88" s="55" t="s">
        <v>350</v>
      </c>
      <c r="F88" s="55" t="s">
        <v>76</v>
      </c>
      <c r="G88" s="60" t="s">
        <v>302</v>
      </c>
      <c r="H88" s="55" t="s">
        <v>103</v>
      </c>
      <c r="I88" s="55"/>
      <c r="J88" s="49" t="s">
        <v>9</v>
      </c>
      <c r="K88" s="49" t="s">
        <v>356</v>
      </c>
      <c r="L88" s="49"/>
      <c r="M88" s="73" t="s">
        <v>277</v>
      </c>
      <c r="N88" s="49" t="s">
        <v>278</v>
      </c>
      <c r="O88" s="73">
        <v>100</v>
      </c>
      <c r="P88" s="73"/>
      <c r="Q88" s="49" t="s">
        <v>278</v>
      </c>
      <c r="R88" s="49" t="s">
        <v>278</v>
      </c>
      <c r="T88" s="37" t="str" cm="1">
        <f t="array" ref="T88">IFERROR(_xlfn._xlws.FILTER(C88,E88="Tractor"),"")</f>
        <v/>
      </c>
      <c r="V88" s="37" t="str" cm="1">
        <f t="array" ref="V88">IFERROR(_xlfn._xlws.FILTER(C88,#REF!="Combine Harvester"),"")</f>
        <v/>
      </c>
    </row>
    <row r="89" spans="1:22" hidden="1">
      <c r="A89" s="52">
        <v>87</v>
      </c>
      <c r="B89" s="55" t="s">
        <v>14</v>
      </c>
      <c r="C89" s="72" t="s">
        <v>214</v>
      </c>
      <c r="D89" s="56" t="s">
        <v>235</v>
      </c>
      <c r="E89" s="55" t="s">
        <v>350</v>
      </c>
      <c r="F89" s="55" t="s">
        <v>216</v>
      </c>
      <c r="G89" s="13" t="s">
        <v>303</v>
      </c>
      <c r="H89" s="55" t="s">
        <v>214</v>
      </c>
      <c r="I89" s="55" t="s">
        <v>97</v>
      </c>
      <c r="J89" s="78" t="s">
        <v>9</v>
      </c>
      <c r="K89" s="49" t="s">
        <v>356</v>
      </c>
      <c r="L89" s="13"/>
      <c r="M89" s="49" t="s">
        <v>277</v>
      </c>
      <c r="N89" s="49" t="s">
        <v>278</v>
      </c>
      <c r="O89" s="53">
        <v>100</v>
      </c>
      <c r="P89" s="53"/>
      <c r="Q89" s="49" t="s">
        <v>278</v>
      </c>
      <c r="R89" s="49" t="s">
        <v>278</v>
      </c>
      <c r="T89" s="37" t="str" cm="1">
        <f t="array" ref="T89">IFERROR(_xlfn._xlws.FILTER(C89,E89="Tractor"),"")</f>
        <v/>
      </c>
      <c r="V89" s="37" t="str" cm="1">
        <f t="array" ref="V89">IFERROR(_xlfn._xlws.FILTER(C89,#REF!="Combine Harvester"),"")</f>
        <v/>
      </c>
    </row>
    <row r="90" spans="1:22" hidden="1">
      <c r="A90" s="52">
        <v>88</v>
      </c>
      <c r="B90" s="55" t="s">
        <v>14</v>
      </c>
      <c r="C90" s="72" t="s">
        <v>215</v>
      </c>
      <c r="D90" s="56" t="s">
        <v>235</v>
      </c>
      <c r="E90" s="55" t="s">
        <v>350</v>
      </c>
      <c r="F90" s="55" t="s">
        <v>218</v>
      </c>
      <c r="G90" s="55" t="s">
        <v>304</v>
      </c>
      <c r="H90" s="55" t="s">
        <v>219</v>
      </c>
      <c r="I90" s="55" t="s">
        <v>220</v>
      </c>
      <c r="J90" s="78" t="s">
        <v>217</v>
      </c>
      <c r="K90" s="13" t="s">
        <v>362</v>
      </c>
      <c r="L90" s="13" t="s">
        <v>366</v>
      </c>
      <c r="M90" s="49" t="s">
        <v>277</v>
      </c>
      <c r="N90" s="49" t="s">
        <v>278</v>
      </c>
      <c r="O90" s="53"/>
      <c r="P90" s="53"/>
      <c r="Q90" s="49" t="s">
        <v>278</v>
      </c>
      <c r="R90" s="49" t="s">
        <v>278</v>
      </c>
      <c r="T90" s="37" t="str" cm="1">
        <f t="array" ref="T90">IFERROR(_xlfn._xlws.FILTER(C90,E90="Tractor"),"")</f>
        <v/>
      </c>
      <c r="V90" s="37" t="str" cm="1">
        <f t="array" ref="V90">IFERROR(_xlfn._xlws.FILTER(C90,#REF!="Combine Harvester"),"")</f>
        <v/>
      </c>
    </row>
    <row r="91" spans="1:22" hidden="1">
      <c r="A91" s="52">
        <v>89</v>
      </c>
      <c r="B91" s="55" t="s">
        <v>14</v>
      </c>
      <c r="C91" s="72" t="s">
        <v>221</v>
      </c>
      <c r="D91" s="56" t="s">
        <v>235</v>
      </c>
      <c r="E91" s="55" t="s">
        <v>350</v>
      </c>
      <c r="F91" s="55" t="s">
        <v>222</v>
      </c>
      <c r="G91" s="55" t="s">
        <v>304</v>
      </c>
      <c r="H91" s="55" t="s">
        <v>221</v>
      </c>
      <c r="I91" s="55" t="s">
        <v>225</v>
      </c>
      <c r="J91" s="78" t="s">
        <v>223</v>
      </c>
      <c r="K91" s="13"/>
      <c r="L91" s="13"/>
      <c r="M91" s="49" t="s">
        <v>278</v>
      </c>
      <c r="N91" s="49" t="s">
        <v>278</v>
      </c>
      <c r="O91" s="53"/>
      <c r="P91" s="53"/>
      <c r="Q91" s="49" t="s">
        <v>278</v>
      </c>
      <c r="R91" s="49" t="s">
        <v>278</v>
      </c>
      <c r="T91" s="37" t="str" cm="1">
        <f t="array" ref="T91">IFERROR(_xlfn._xlws.FILTER(C91,E91="Tractor"),"")</f>
        <v/>
      </c>
      <c r="V91" s="37" t="str" cm="1">
        <f t="array" ref="V91">IFERROR(_xlfn._xlws.FILTER(C91,#REF!="Combine Harvester"),"")</f>
        <v/>
      </c>
    </row>
    <row r="92" spans="1:22" hidden="1">
      <c r="A92" s="52">
        <v>90</v>
      </c>
      <c r="B92" s="55" t="s">
        <v>14</v>
      </c>
      <c r="C92" s="72" t="s">
        <v>224</v>
      </c>
      <c r="D92" s="56" t="s">
        <v>32</v>
      </c>
      <c r="E92" s="55" t="s">
        <v>350</v>
      </c>
      <c r="F92" s="13" t="s">
        <v>78</v>
      </c>
      <c r="G92" s="13" t="s">
        <v>301</v>
      </c>
      <c r="H92" s="72" t="s">
        <v>224</v>
      </c>
      <c r="I92" s="55" t="s">
        <v>226</v>
      </c>
      <c r="J92" s="78" t="s">
        <v>227</v>
      </c>
      <c r="K92" s="13" t="s">
        <v>362</v>
      </c>
      <c r="L92" s="13" t="s">
        <v>366</v>
      </c>
      <c r="M92" s="49" t="s">
        <v>278</v>
      </c>
      <c r="N92" s="49" t="s">
        <v>278</v>
      </c>
      <c r="O92" s="53"/>
      <c r="P92" s="53"/>
      <c r="Q92" s="49" t="s">
        <v>278</v>
      </c>
      <c r="R92" s="49" t="s">
        <v>278</v>
      </c>
      <c r="T92" s="37" t="str" cm="1">
        <f t="array" ref="T92">IFERROR(_xlfn._xlws.FILTER(C92,E92="Tractor"),"")</f>
        <v/>
      </c>
      <c r="V92" s="37" t="str" cm="1">
        <f t="array" ref="V92">IFERROR(_xlfn._xlws.FILTER(C92,#REF!="Combine Harvester"),"")</f>
        <v/>
      </c>
    </row>
    <row r="93" spans="1:22" hidden="1">
      <c r="A93" s="52">
        <v>91</v>
      </c>
      <c r="B93" s="55" t="s">
        <v>14</v>
      </c>
      <c r="C93" s="13" t="s">
        <v>228</v>
      </c>
      <c r="D93" s="56" t="s">
        <v>235</v>
      </c>
      <c r="E93" s="55" t="s">
        <v>350</v>
      </c>
      <c r="F93" s="13" t="s">
        <v>229</v>
      </c>
      <c r="G93" s="60" t="s">
        <v>302</v>
      </c>
      <c r="H93" s="13" t="s">
        <v>228</v>
      </c>
      <c r="I93" s="13" t="s">
        <v>230</v>
      </c>
      <c r="J93" s="78" t="s">
        <v>9</v>
      </c>
      <c r="K93" s="49" t="s">
        <v>356</v>
      </c>
      <c r="L93" s="13"/>
      <c r="M93" s="49" t="s">
        <v>277</v>
      </c>
      <c r="N93" s="49" t="s">
        <v>278</v>
      </c>
      <c r="O93" s="53">
        <v>100</v>
      </c>
      <c r="P93" s="53"/>
      <c r="Q93" s="49" t="s">
        <v>278</v>
      </c>
      <c r="R93" s="49" t="s">
        <v>278</v>
      </c>
      <c r="T93" s="37" t="str" cm="1">
        <f t="array" ref="T93">IFERROR(_xlfn._xlws.FILTER(C93,E93="Tractor"),"")</f>
        <v/>
      </c>
      <c r="V93" s="37" t="str" cm="1">
        <f t="array" ref="V93">IFERROR(_xlfn._xlws.FILTER(C93,#REF!="Combine Harvester"),"")</f>
        <v/>
      </c>
    </row>
    <row r="94" spans="1:22" hidden="1">
      <c r="A94" s="52">
        <v>92</v>
      </c>
      <c r="B94" s="55" t="s">
        <v>14</v>
      </c>
      <c r="C94" s="13" t="s">
        <v>231</v>
      </c>
      <c r="D94" s="56" t="s">
        <v>235</v>
      </c>
      <c r="E94" s="55" t="s">
        <v>350</v>
      </c>
      <c r="F94" s="13" t="s">
        <v>98</v>
      </c>
      <c r="G94" s="13" t="s">
        <v>301</v>
      </c>
      <c r="H94" s="74" t="s">
        <v>232</v>
      </c>
      <c r="I94" s="13" t="s">
        <v>233</v>
      </c>
      <c r="J94" s="78" t="s">
        <v>234</v>
      </c>
      <c r="K94" s="13" t="s">
        <v>363</v>
      </c>
      <c r="L94" s="13"/>
      <c r="M94" s="49" t="s">
        <v>277</v>
      </c>
      <c r="N94" s="49" t="s">
        <v>278</v>
      </c>
      <c r="O94" s="53">
        <v>100</v>
      </c>
      <c r="P94" s="53"/>
      <c r="Q94" s="49" t="s">
        <v>278</v>
      </c>
      <c r="R94" s="49" t="s">
        <v>278</v>
      </c>
      <c r="T94" s="37" t="str" cm="1">
        <f t="array" ref="T94">IFERROR(_xlfn._xlws.FILTER(C94,E94="Tractor"),"")</f>
        <v/>
      </c>
      <c r="V94" s="37" t="str" cm="1">
        <f t="array" ref="V94">IFERROR(_xlfn._xlws.FILTER(C94,#REF!="Combine Harvester"),"")</f>
        <v/>
      </c>
    </row>
    <row r="95" spans="1:22">
      <c r="A95" s="52">
        <v>93</v>
      </c>
      <c r="B95" s="55" t="s">
        <v>14</v>
      </c>
      <c r="C95" s="55" t="s">
        <v>35</v>
      </c>
      <c r="D95" s="56" t="s">
        <v>235</v>
      </c>
      <c r="E95" s="55" t="s">
        <v>351</v>
      </c>
      <c r="F95" s="55" t="s">
        <v>36</v>
      </c>
      <c r="G95" s="13" t="s">
        <v>303</v>
      </c>
      <c r="H95" s="55" t="s">
        <v>37</v>
      </c>
      <c r="I95" s="55" t="s">
        <v>38</v>
      </c>
      <c r="J95" s="49" t="s">
        <v>352</v>
      </c>
      <c r="K95" s="13" t="s">
        <v>369</v>
      </c>
      <c r="L95" s="13"/>
      <c r="M95" s="49" t="s">
        <v>281</v>
      </c>
      <c r="N95" s="49">
        <v>2019</v>
      </c>
      <c r="O95" s="49" t="s">
        <v>53</v>
      </c>
      <c r="P95" s="53"/>
      <c r="Q95" s="49"/>
      <c r="R95" s="49"/>
      <c r="T95" s="37"/>
      <c r="V95" s="37"/>
    </row>
    <row r="96" spans="1:22">
      <c r="A96" s="52">
        <v>94</v>
      </c>
      <c r="B96" s="55" t="s">
        <v>14</v>
      </c>
      <c r="C96" s="55" t="s">
        <v>35</v>
      </c>
      <c r="D96" s="56" t="s">
        <v>235</v>
      </c>
      <c r="E96" s="55" t="s">
        <v>351</v>
      </c>
      <c r="F96" s="55" t="s">
        <v>36</v>
      </c>
      <c r="G96" s="13" t="s">
        <v>303</v>
      </c>
      <c r="H96" s="55" t="s">
        <v>37</v>
      </c>
      <c r="I96" s="55" t="s">
        <v>40</v>
      </c>
      <c r="J96" s="49" t="s">
        <v>52</v>
      </c>
      <c r="K96" s="13" t="s">
        <v>369</v>
      </c>
      <c r="L96" s="49"/>
      <c r="M96" s="49" t="s">
        <v>281</v>
      </c>
      <c r="N96" s="49">
        <v>2019</v>
      </c>
      <c r="O96" s="49" t="s">
        <v>53</v>
      </c>
      <c r="P96" s="49"/>
      <c r="Q96" s="49"/>
      <c r="R96" s="49"/>
      <c r="T96" s="37"/>
      <c r="V96" s="37"/>
    </row>
    <row r="97" spans="1:22">
      <c r="A97" s="52">
        <v>95</v>
      </c>
      <c r="B97" s="55" t="s">
        <v>14</v>
      </c>
      <c r="C97" s="55" t="s">
        <v>35</v>
      </c>
      <c r="D97" s="56" t="s">
        <v>235</v>
      </c>
      <c r="E97" s="55" t="s">
        <v>351</v>
      </c>
      <c r="F97" s="55" t="s">
        <v>36</v>
      </c>
      <c r="G97" s="13" t="s">
        <v>303</v>
      </c>
      <c r="H97" s="55" t="s">
        <v>37</v>
      </c>
      <c r="I97" s="55" t="s">
        <v>41</v>
      </c>
      <c r="J97" s="49" t="s">
        <v>52</v>
      </c>
      <c r="K97" s="13" t="s">
        <v>369</v>
      </c>
      <c r="L97" s="49"/>
      <c r="M97" s="49" t="s">
        <v>281</v>
      </c>
      <c r="N97" s="49">
        <v>2019</v>
      </c>
      <c r="O97" s="49" t="s">
        <v>53</v>
      </c>
      <c r="P97" s="49"/>
      <c r="Q97" s="49"/>
      <c r="R97" s="49"/>
      <c r="T97" s="37"/>
      <c r="V97" s="37"/>
    </row>
    <row r="98" spans="1:22">
      <c r="A98" s="52">
        <v>96</v>
      </c>
      <c r="B98" s="55" t="s">
        <v>14</v>
      </c>
      <c r="C98" s="55" t="s">
        <v>35</v>
      </c>
      <c r="D98" s="56" t="s">
        <v>235</v>
      </c>
      <c r="E98" s="55" t="s">
        <v>351</v>
      </c>
      <c r="F98" s="55" t="s">
        <v>36</v>
      </c>
      <c r="G98" s="13" t="s">
        <v>303</v>
      </c>
      <c r="H98" s="55" t="s">
        <v>37</v>
      </c>
      <c r="I98" s="55" t="s">
        <v>42</v>
      </c>
      <c r="J98" s="49" t="s">
        <v>52</v>
      </c>
      <c r="K98" s="13" t="s">
        <v>369</v>
      </c>
      <c r="L98" s="49"/>
      <c r="M98" s="49" t="s">
        <v>281</v>
      </c>
      <c r="N98" s="49">
        <v>2019</v>
      </c>
      <c r="O98" s="49" t="s">
        <v>53</v>
      </c>
      <c r="P98" s="49"/>
      <c r="Q98" s="49"/>
      <c r="R98" s="49"/>
      <c r="T98" s="37"/>
      <c r="V98" s="37"/>
    </row>
    <row r="99" spans="1:22">
      <c r="A99" s="52">
        <v>97</v>
      </c>
      <c r="B99" s="55" t="s">
        <v>14</v>
      </c>
      <c r="C99" s="55" t="s">
        <v>35</v>
      </c>
      <c r="D99" s="56" t="s">
        <v>235</v>
      </c>
      <c r="E99" s="55" t="s">
        <v>351</v>
      </c>
      <c r="F99" s="55" t="s">
        <v>36</v>
      </c>
      <c r="G99" s="13" t="s">
        <v>303</v>
      </c>
      <c r="H99" s="55" t="s">
        <v>37</v>
      </c>
      <c r="I99" s="55" t="s">
        <v>43</v>
      </c>
      <c r="J99" s="49" t="s">
        <v>52</v>
      </c>
      <c r="K99" s="13" t="s">
        <v>369</v>
      </c>
      <c r="L99" s="49"/>
      <c r="M99" s="49" t="s">
        <v>281</v>
      </c>
      <c r="N99" s="49">
        <v>2019</v>
      </c>
      <c r="O99" s="49" t="s">
        <v>53</v>
      </c>
      <c r="P99" s="49"/>
      <c r="Q99" s="49"/>
      <c r="R99" s="49"/>
      <c r="T99" s="37"/>
      <c r="V99" s="37"/>
    </row>
    <row r="100" spans="1:22">
      <c r="A100" s="52">
        <v>98</v>
      </c>
      <c r="B100" s="55" t="s">
        <v>3</v>
      </c>
      <c r="C100" s="56" t="s">
        <v>148</v>
      </c>
      <c r="D100" s="55" t="s">
        <v>236</v>
      </c>
      <c r="E100" s="55" t="s">
        <v>351</v>
      </c>
      <c r="F100" s="57" t="s">
        <v>114</v>
      </c>
      <c r="G100" s="55" t="s">
        <v>300</v>
      </c>
      <c r="H100" s="58" t="s">
        <v>149</v>
      </c>
      <c r="I100" s="55" t="s">
        <v>150</v>
      </c>
      <c r="J100" s="49" t="s">
        <v>152</v>
      </c>
      <c r="K100" s="79" t="s">
        <v>370</v>
      </c>
      <c r="L100" s="49" t="s">
        <v>371</v>
      </c>
      <c r="M100" s="49" t="s">
        <v>277</v>
      </c>
      <c r="N100" s="49">
        <v>2017</v>
      </c>
      <c r="O100" s="49" t="s">
        <v>53</v>
      </c>
      <c r="P100" s="49"/>
      <c r="Q100" s="49"/>
      <c r="R100" s="49"/>
      <c r="T100" s="37"/>
      <c r="V100" s="37"/>
    </row>
    <row r="101" spans="1:22">
      <c r="A101" s="52">
        <v>99</v>
      </c>
      <c r="B101" s="55" t="s">
        <v>14</v>
      </c>
      <c r="C101" s="55" t="s">
        <v>35</v>
      </c>
      <c r="D101" s="56" t="s">
        <v>235</v>
      </c>
      <c r="E101" s="55" t="s">
        <v>351</v>
      </c>
      <c r="F101" s="55" t="s">
        <v>36</v>
      </c>
      <c r="G101" s="13" t="s">
        <v>303</v>
      </c>
      <c r="H101" s="55" t="s">
        <v>37</v>
      </c>
      <c r="I101" s="55" t="s">
        <v>44</v>
      </c>
      <c r="J101" s="49" t="s">
        <v>52</v>
      </c>
      <c r="K101" s="13" t="s">
        <v>369</v>
      </c>
      <c r="L101" s="49"/>
      <c r="M101" s="49" t="s">
        <v>277</v>
      </c>
      <c r="N101" s="49">
        <v>2019</v>
      </c>
      <c r="O101" s="49" t="s">
        <v>53</v>
      </c>
      <c r="P101" s="49"/>
      <c r="Q101" s="49"/>
      <c r="R101" s="49"/>
      <c r="T101" s="37"/>
      <c r="V101" s="37"/>
    </row>
    <row r="102" spans="1:22">
      <c r="A102" s="52">
        <v>100</v>
      </c>
      <c r="B102" s="55" t="s">
        <v>14</v>
      </c>
      <c r="C102" s="55" t="s">
        <v>35</v>
      </c>
      <c r="D102" s="56" t="s">
        <v>235</v>
      </c>
      <c r="E102" s="55" t="s">
        <v>351</v>
      </c>
      <c r="F102" s="55" t="s">
        <v>36</v>
      </c>
      <c r="G102" s="13" t="s">
        <v>303</v>
      </c>
      <c r="H102" s="55" t="s">
        <v>37</v>
      </c>
      <c r="I102" s="55" t="s">
        <v>45</v>
      </c>
      <c r="J102" s="49" t="s">
        <v>52</v>
      </c>
      <c r="K102" s="13" t="s">
        <v>369</v>
      </c>
      <c r="L102" s="49"/>
      <c r="M102" s="49" t="s">
        <v>277</v>
      </c>
      <c r="N102" s="49">
        <v>2019</v>
      </c>
      <c r="O102" s="49" t="s">
        <v>53</v>
      </c>
      <c r="P102" s="49"/>
      <c r="Q102" s="49"/>
      <c r="R102" s="49"/>
      <c r="T102" s="37"/>
      <c r="V102" s="37"/>
    </row>
    <row r="103" spans="1:22">
      <c r="A103" s="52">
        <v>101</v>
      </c>
      <c r="B103" s="55" t="s">
        <v>14</v>
      </c>
      <c r="C103" s="55" t="s">
        <v>35</v>
      </c>
      <c r="D103" s="56" t="s">
        <v>235</v>
      </c>
      <c r="E103" s="55" t="s">
        <v>351</v>
      </c>
      <c r="F103" s="55" t="s">
        <v>36</v>
      </c>
      <c r="G103" s="13" t="s">
        <v>303</v>
      </c>
      <c r="H103" s="55" t="s">
        <v>37</v>
      </c>
      <c r="I103" s="55" t="s">
        <v>46</v>
      </c>
      <c r="J103" s="49" t="s">
        <v>52</v>
      </c>
      <c r="K103" s="13" t="s">
        <v>369</v>
      </c>
      <c r="L103" s="49"/>
      <c r="M103" s="49" t="s">
        <v>281</v>
      </c>
      <c r="N103" s="49">
        <v>2019</v>
      </c>
      <c r="O103" s="49" t="s">
        <v>53</v>
      </c>
      <c r="P103" s="49"/>
      <c r="Q103" s="49"/>
      <c r="R103" s="49"/>
      <c r="T103" s="37"/>
      <c r="V103" s="37"/>
    </row>
    <row r="104" spans="1:22">
      <c r="A104" s="52">
        <v>102</v>
      </c>
      <c r="B104" s="55" t="s">
        <v>14</v>
      </c>
      <c r="C104" s="55" t="s">
        <v>35</v>
      </c>
      <c r="D104" s="56" t="s">
        <v>235</v>
      </c>
      <c r="E104" s="55" t="s">
        <v>351</v>
      </c>
      <c r="F104" s="55" t="s">
        <v>36</v>
      </c>
      <c r="G104" s="13" t="s">
        <v>303</v>
      </c>
      <c r="H104" s="55" t="s">
        <v>37</v>
      </c>
      <c r="I104" s="55" t="s">
        <v>47</v>
      </c>
      <c r="J104" s="49" t="s">
        <v>52</v>
      </c>
      <c r="K104" s="13" t="s">
        <v>369</v>
      </c>
      <c r="L104" s="49"/>
      <c r="M104" s="49" t="s">
        <v>281</v>
      </c>
      <c r="N104" s="49">
        <v>2019</v>
      </c>
      <c r="O104" s="49" t="s">
        <v>53</v>
      </c>
      <c r="P104" s="49"/>
      <c r="Q104" s="49"/>
      <c r="R104" s="49"/>
      <c r="T104" s="37"/>
      <c r="V104" s="37"/>
    </row>
    <row r="105" spans="1:22">
      <c r="A105" s="52">
        <v>103</v>
      </c>
      <c r="B105" s="55" t="s">
        <v>23</v>
      </c>
      <c r="C105" s="58" t="s">
        <v>180</v>
      </c>
      <c r="D105" s="55" t="s">
        <v>32</v>
      </c>
      <c r="E105" s="55" t="s">
        <v>351</v>
      </c>
      <c r="F105" s="57" t="s">
        <v>154</v>
      </c>
      <c r="G105" s="57" t="s">
        <v>297</v>
      </c>
      <c r="H105" s="58" t="s">
        <v>205</v>
      </c>
      <c r="I105" s="55" t="s">
        <v>204</v>
      </c>
      <c r="J105" s="64" t="s">
        <v>29</v>
      </c>
      <c r="K105" s="49" t="s">
        <v>357</v>
      </c>
      <c r="L105" s="49"/>
      <c r="M105" s="49" t="s">
        <v>277</v>
      </c>
      <c r="N105" s="64">
        <v>2019</v>
      </c>
      <c r="O105" s="49" t="s">
        <v>53</v>
      </c>
      <c r="P105" s="49"/>
      <c r="Q105" s="49"/>
      <c r="R105" s="49"/>
      <c r="T105" s="37"/>
      <c r="V105" s="37"/>
    </row>
    <row r="106" spans="1:22">
      <c r="A106" s="52">
        <v>104</v>
      </c>
      <c r="B106" s="55" t="s">
        <v>3</v>
      </c>
      <c r="C106" s="56" t="s">
        <v>181</v>
      </c>
      <c r="D106" s="56" t="s">
        <v>32</v>
      </c>
      <c r="E106" s="55" t="s">
        <v>351</v>
      </c>
      <c r="F106" s="57" t="s">
        <v>132</v>
      </c>
      <c r="G106" s="57" t="s">
        <v>298</v>
      </c>
      <c r="H106" s="58" t="s">
        <v>200</v>
      </c>
      <c r="I106" s="55" t="s">
        <v>182</v>
      </c>
      <c r="J106" s="49" t="s">
        <v>29</v>
      </c>
      <c r="K106" s="49" t="s">
        <v>357</v>
      </c>
      <c r="L106" s="49"/>
      <c r="M106" s="49" t="s">
        <v>277</v>
      </c>
      <c r="N106" s="49">
        <v>2016</v>
      </c>
      <c r="O106" s="49" t="s">
        <v>53</v>
      </c>
      <c r="P106" s="49"/>
      <c r="Q106" s="49"/>
      <c r="R106" s="49"/>
      <c r="T106" s="37"/>
      <c r="V106" s="37"/>
    </row>
    <row r="107" spans="1:22" ht="24">
      <c r="A107" s="52">
        <v>105</v>
      </c>
      <c r="B107" s="55" t="s">
        <v>3</v>
      </c>
      <c r="C107" s="56" t="s">
        <v>181</v>
      </c>
      <c r="D107" s="56" t="s">
        <v>32</v>
      </c>
      <c r="E107" s="55" t="s">
        <v>351</v>
      </c>
      <c r="F107" s="57" t="s">
        <v>132</v>
      </c>
      <c r="G107" s="57" t="s">
        <v>298</v>
      </c>
      <c r="H107" s="58" t="s">
        <v>200</v>
      </c>
      <c r="I107" s="55" t="s">
        <v>183</v>
      </c>
      <c r="J107" s="49" t="s">
        <v>372</v>
      </c>
      <c r="K107" s="49" t="s">
        <v>373</v>
      </c>
      <c r="L107" s="49"/>
      <c r="M107" s="49" t="s">
        <v>277</v>
      </c>
      <c r="N107" s="49">
        <v>2017</v>
      </c>
      <c r="O107" s="49" t="s">
        <v>53</v>
      </c>
      <c r="P107" s="49"/>
      <c r="Q107" s="49"/>
      <c r="R107" s="49"/>
      <c r="T107" s="37"/>
      <c r="V107" s="37"/>
    </row>
    <row r="108" spans="1:22">
      <c r="A108" s="52">
        <v>106</v>
      </c>
      <c r="B108" s="55" t="s">
        <v>14</v>
      </c>
      <c r="C108" s="56" t="s">
        <v>31</v>
      </c>
      <c r="D108" s="56" t="s">
        <v>32</v>
      </c>
      <c r="E108" s="55" t="s">
        <v>351</v>
      </c>
      <c r="F108" s="57" t="s">
        <v>25</v>
      </c>
      <c r="G108" s="60" t="s">
        <v>302</v>
      </c>
      <c r="H108" s="58" t="s">
        <v>33</v>
      </c>
      <c r="I108" s="61" t="s">
        <v>34</v>
      </c>
      <c r="J108" s="49" t="s">
        <v>29</v>
      </c>
      <c r="K108" s="49" t="s">
        <v>358</v>
      </c>
      <c r="L108" s="49"/>
      <c r="M108" s="49" t="s">
        <v>277</v>
      </c>
      <c r="N108" s="49">
        <v>2020</v>
      </c>
      <c r="O108" s="49" t="s">
        <v>53</v>
      </c>
      <c r="P108" s="49"/>
      <c r="Q108" s="49"/>
      <c r="R108" s="49"/>
      <c r="T108" s="37"/>
      <c r="V108" s="37"/>
    </row>
    <row r="109" spans="1:22">
      <c r="A109" s="52">
        <v>107</v>
      </c>
      <c r="B109" s="55" t="s">
        <v>3</v>
      </c>
      <c r="C109" s="56" t="s">
        <v>185</v>
      </c>
      <c r="D109" s="56" t="s">
        <v>32</v>
      </c>
      <c r="E109" s="55" t="s">
        <v>351</v>
      </c>
      <c r="F109" s="57" t="s">
        <v>114</v>
      </c>
      <c r="G109" s="55" t="s">
        <v>300</v>
      </c>
      <c r="H109" s="58" t="s">
        <v>186</v>
      </c>
      <c r="I109" s="55" t="s">
        <v>187</v>
      </c>
      <c r="J109" s="49" t="s">
        <v>29</v>
      </c>
      <c r="K109" s="49" t="s">
        <v>357</v>
      </c>
      <c r="L109" s="49"/>
      <c r="M109" s="49" t="s">
        <v>277</v>
      </c>
      <c r="N109" s="49">
        <v>2019</v>
      </c>
      <c r="O109" s="49" t="s">
        <v>53</v>
      </c>
      <c r="P109" s="49"/>
      <c r="Q109" s="49"/>
      <c r="R109" s="49"/>
      <c r="T109" s="37"/>
      <c r="V109" s="37"/>
    </row>
    <row r="110" spans="1:22" ht="24">
      <c r="A110" s="52">
        <v>108</v>
      </c>
      <c r="B110" s="55" t="s">
        <v>23</v>
      </c>
      <c r="C110" s="58" t="s">
        <v>191</v>
      </c>
      <c r="D110" s="55" t="s">
        <v>236</v>
      </c>
      <c r="E110" s="55" t="s">
        <v>351</v>
      </c>
      <c r="F110" s="55" t="s">
        <v>165</v>
      </c>
      <c r="G110" s="57" t="s">
        <v>208</v>
      </c>
      <c r="H110" s="58" t="s">
        <v>192</v>
      </c>
      <c r="I110" s="55">
        <v>776391268</v>
      </c>
      <c r="J110" s="49" t="s">
        <v>29</v>
      </c>
      <c r="K110" s="49" t="s">
        <v>357</v>
      </c>
      <c r="L110" s="49"/>
      <c r="M110" s="49" t="s">
        <v>281</v>
      </c>
      <c r="N110" s="49">
        <v>2018</v>
      </c>
      <c r="O110" s="49" t="s">
        <v>53</v>
      </c>
      <c r="P110" s="49"/>
      <c r="Q110" s="49"/>
      <c r="R110" s="49"/>
      <c r="T110" s="37"/>
      <c r="V110" s="37"/>
    </row>
    <row r="111" spans="1:22">
      <c r="A111" s="52">
        <v>109</v>
      </c>
      <c r="B111" s="55" t="s">
        <v>23</v>
      </c>
      <c r="C111" s="66" t="s">
        <v>193</v>
      </c>
      <c r="D111" s="55" t="s">
        <v>236</v>
      </c>
      <c r="E111" s="55" t="s">
        <v>351</v>
      </c>
      <c r="F111" s="57" t="s">
        <v>154</v>
      </c>
      <c r="G111" s="57" t="s">
        <v>297</v>
      </c>
      <c r="H111" s="69" t="s">
        <v>194</v>
      </c>
      <c r="I111" s="55">
        <v>783251079</v>
      </c>
      <c r="J111" s="49" t="s">
        <v>29</v>
      </c>
      <c r="K111" s="49" t="s">
        <v>357</v>
      </c>
      <c r="L111" s="49"/>
      <c r="M111" s="49" t="s">
        <v>277</v>
      </c>
      <c r="N111" s="49" t="s">
        <v>279</v>
      </c>
      <c r="O111" s="49" t="s">
        <v>53</v>
      </c>
      <c r="P111" s="49"/>
      <c r="Q111" s="49"/>
      <c r="R111" s="49"/>
      <c r="T111" s="37"/>
      <c r="V111" s="37"/>
    </row>
    <row r="112" spans="1:22">
      <c r="B112" s="75"/>
      <c r="D112" s="76"/>
      <c r="E112" s="75"/>
      <c r="M112" s="77"/>
      <c r="N112" s="77"/>
      <c r="Q112" s="77"/>
      <c r="R112" s="77"/>
      <c r="T112" s="37"/>
      <c r="V112" s="37"/>
    </row>
    <row r="114" spans="1:28">
      <c r="F114" s="1" t="s">
        <v>124</v>
      </c>
      <c r="G114" s="1">
        <f t="shared" ref="G114:G136" si="3">COUNTIFS($F$3:$F$94,F114,$E$3:$E$94,"Tractor")</f>
        <v>0</v>
      </c>
    </row>
    <row r="115" spans="1:28">
      <c r="F115" s="1" t="s">
        <v>154</v>
      </c>
      <c r="G115" s="1">
        <f t="shared" si="3"/>
        <v>0</v>
      </c>
    </row>
    <row r="116" spans="1:28">
      <c r="F116" s="1" t="s">
        <v>132</v>
      </c>
      <c r="G116" s="1">
        <f t="shared" si="3"/>
        <v>0</v>
      </c>
    </row>
    <row r="117" spans="1:28">
      <c r="F117" s="1" t="s">
        <v>159</v>
      </c>
      <c r="G117" s="1">
        <f t="shared" si="3"/>
        <v>0</v>
      </c>
    </row>
    <row r="118" spans="1:28">
      <c r="F118" s="1" t="s">
        <v>23</v>
      </c>
      <c r="G118" s="1">
        <f t="shared" si="3"/>
        <v>0</v>
      </c>
    </row>
    <row r="119" spans="1:28">
      <c r="F119" s="1" t="s">
        <v>163</v>
      </c>
      <c r="G119" s="1">
        <f t="shared" si="3"/>
        <v>0</v>
      </c>
    </row>
    <row r="120" spans="1:28">
      <c r="F120" s="1" t="s">
        <v>165</v>
      </c>
      <c r="G120" s="1">
        <f t="shared" si="3"/>
        <v>0</v>
      </c>
    </row>
    <row r="121" spans="1:28">
      <c r="F121" s="1" t="s">
        <v>114</v>
      </c>
      <c r="G121" s="1">
        <f t="shared" si="3"/>
        <v>0</v>
      </c>
    </row>
    <row r="122" spans="1:28">
      <c r="F122" s="1" t="s">
        <v>78</v>
      </c>
      <c r="G122" s="1">
        <f t="shared" si="3"/>
        <v>0</v>
      </c>
    </row>
    <row r="123" spans="1:28" s="10" customFormat="1">
      <c r="A123" s="6"/>
      <c r="B123" s="1"/>
      <c r="C123" s="1"/>
      <c r="D123" s="9"/>
      <c r="E123" s="9"/>
      <c r="F123" s="1" t="s">
        <v>98</v>
      </c>
      <c r="G123" s="1">
        <f t="shared" si="3"/>
        <v>0</v>
      </c>
      <c r="I123" s="1"/>
      <c r="J123" s="1"/>
      <c r="K123" s="1"/>
      <c r="L123" s="1"/>
      <c r="M123" s="11"/>
      <c r="N123" s="11"/>
      <c r="O123" s="11"/>
      <c r="P123" s="11"/>
      <c r="Q123" s="11"/>
      <c r="R123" s="1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s="10" customFormat="1">
      <c r="A124" s="6"/>
      <c r="B124" s="1"/>
      <c r="C124" s="1"/>
      <c r="D124" s="9"/>
      <c r="E124" s="9"/>
      <c r="F124" s="1" t="s">
        <v>25</v>
      </c>
      <c r="G124" s="1">
        <f t="shared" si="3"/>
        <v>0</v>
      </c>
      <c r="I124" s="1"/>
      <c r="J124" s="1"/>
      <c r="K124" s="1"/>
      <c r="L124" s="1"/>
      <c r="M124" s="11"/>
      <c r="N124" s="11"/>
      <c r="O124" s="11"/>
      <c r="P124" s="11"/>
      <c r="Q124" s="11"/>
      <c r="R124" s="1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s="10" customFormat="1">
      <c r="A125" s="6"/>
      <c r="B125" s="1"/>
      <c r="C125" s="1"/>
      <c r="D125" s="9"/>
      <c r="E125" s="9"/>
      <c r="F125" s="1" t="s">
        <v>21</v>
      </c>
      <c r="G125" s="1">
        <f t="shared" si="3"/>
        <v>0</v>
      </c>
      <c r="I125" s="1"/>
      <c r="J125" s="1"/>
      <c r="K125" s="1"/>
      <c r="L125" s="1"/>
      <c r="M125" s="11"/>
      <c r="N125" s="11"/>
      <c r="O125" s="11"/>
      <c r="P125" s="11"/>
      <c r="Q125" s="11"/>
      <c r="R125" s="1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s="10" customFormat="1">
      <c r="A126" s="6"/>
      <c r="B126" s="1"/>
      <c r="C126" s="1"/>
      <c r="D126" s="9"/>
      <c r="E126" s="9"/>
      <c r="F126" s="1" t="s">
        <v>76</v>
      </c>
      <c r="G126" s="1">
        <f t="shared" si="3"/>
        <v>0</v>
      </c>
      <c r="I126" s="1"/>
      <c r="J126" s="1"/>
      <c r="K126" s="1"/>
      <c r="L126" s="1"/>
      <c r="M126" s="11"/>
      <c r="N126" s="11"/>
      <c r="O126" s="11"/>
      <c r="P126" s="11"/>
      <c r="Q126" s="11"/>
      <c r="R126" s="1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s="10" customFormat="1">
      <c r="A127" s="6"/>
      <c r="B127" s="1"/>
      <c r="C127" s="1"/>
      <c r="D127" s="9"/>
      <c r="E127" s="9"/>
      <c r="F127" s="1" t="s">
        <v>229</v>
      </c>
      <c r="G127" s="1">
        <f t="shared" si="3"/>
        <v>0</v>
      </c>
      <c r="I127" s="1"/>
      <c r="J127" s="1"/>
      <c r="K127" s="1"/>
      <c r="L127" s="1"/>
      <c r="M127" s="11"/>
      <c r="N127" s="11"/>
      <c r="O127" s="11"/>
      <c r="P127" s="11"/>
      <c r="Q127" s="11"/>
      <c r="R127" s="1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s="10" customFormat="1">
      <c r="A128" s="6"/>
      <c r="B128" s="1"/>
      <c r="C128" s="1"/>
      <c r="D128" s="9"/>
      <c r="E128" s="9"/>
      <c r="F128" s="1" t="s">
        <v>49</v>
      </c>
      <c r="G128" s="1">
        <f t="shared" si="3"/>
        <v>0</v>
      </c>
      <c r="I128" s="1"/>
      <c r="J128" s="1"/>
      <c r="K128" s="1"/>
      <c r="L128" s="1"/>
      <c r="M128" s="11"/>
      <c r="N128" s="11"/>
      <c r="O128" s="11"/>
      <c r="P128" s="11"/>
      <c r="Q128" s="11"/>
      <c r="R128" s="1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s="10" customFormat="1">
      <c r="A129" s="6"/>
      <c r="B129" s="1"/>
      <c r="C129" s="1"/>
      <c r="D129" s="9"/>
      <c r="E129" s="9"/>
      <c r="F129" s="1" t="s">
        <v>55</v>
      </c>
      <c r="G129" s="1">
        <f t="shared" si="3"/>
        <v>0</v>
      </c>
      <c r="I129" s="1"/>
      <c r="J129" s="1"/>
      <c r="K129" s="1"/>
      <c r="L129" s="1"/>
      <c r="M129" s="11"/>
      <c r="N129" s="11"/>
      <c r="O129" s="11"/>
      <c r="P129" s="11"/>
      <c r="Q129" s="11"/>
      <c r="R129" s="1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s="10" customFormat="1">
      <c r="A130" s="6"/>
      <c r="B130" s="1"/>
      <c r="C130" s="1"/>
      <c r="D130" s="9"/>
      <c r="E130" s="9"/>
      <c r="F130" s="1" t="s">
        <v>216</v>
      </c>
      <c r="G130" s="1">
        <f t="shared" si="3"/>
        <v>0</v>
      </c>
      <c r="I130" s="1"/>
      <c r="J130" s="1"/>
      <c r="K130" s="1"/>
      <c r="L130" s="1"/>
      <c r="M130" s="11"/>
      <c r="N130" s="11"/>
      <c r="O130" s="11"/>
      <c r="P130" s="11"/>
      <c r="Q130" s="11"/>
      <c r="R130" s="1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s="10" customFormat="1">
      <c r="A131" s="6"/>
      <c r="B131" s="1"/>
      <c r="C131" s="1"/>
      <c r="D131" s="9"/>
      <c r="E131" s="9"/>
      <c r="F131" s="1" t="s">
        <v>17</v>
      </c>
      <c r="G131" s="1">
        <f t="shared" si="3"/>
        <v>0</v>
      </c>
      <c r="I131" s="1"/>
      <c r="J131" s="1"/>
      <c r="K131" s="1"/>
      <c r="L131" s="1"/>
      <c r="M131" s="11"/>
      <c r="N131" s="11"/>
      <c r="O131" s="11"/>
      <c r="P131" s="11"/>
      <c r="Q131" s="11"/>
      <c r="R131" s="1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s="10" customFormat="1">
      <c r="A132" s="6"/>
      <c r="B132" s="1"/>
      <c r="C132" s="1"/>
      <c r="D132" s="9"/>
      <c r="E132" s="9"/>
      <c r="F132" s="1" t="s">
        <v>218</v>
      </c>
      <c r="G132" s="1">
        <f t="shared" si="3"/>
        <v>0</v>
      </c>
      <c r="I132" s="1"/>
      <c r="J132" s="1"/>
      <c r="K132" s="1"/>
      <c r="L132" s="1"/>
      <c r="M132" s="11"/>
      <c r="N132" s="11"/>
      <c r="O132" s="11"/>
      <c r="P132" s="11"/>
      <c r="Q132" s="11"/>
      <c r="R132" s="1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s="10" customFormat="1">
      <c r="A133" s="6"/>
      <c r="B133" s="1"/>
      <c r="C133" s="1"/>
      <c r="D133" s="9"/>
      <c r="E133" s="9"/>
      <c r="F133" s="1" t="s">
        <v>222</v>
      </c>
      <c r="G133" s="1">
        <f t="shared" si="3"/>
        <v>0</v>
      </c>
      <c r="I133" s="1"/>
      <c r="J133" s="1"/>
      <c r="K133" s="1"/>
      <c r="L133" s="1"/>
      <c r="M133" s="11"/>
      <c r="N133" s="11"/>
      <c r="O133" s="11"/>
      <c r="P133" s="11"/>
      <c r="Q133" s="11"/>
      <c r="R133" s="1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s="10" customFormat="1">
      <c r="A134" s="6"/>
      <c r="B134" s="1"/>
      <c r="C134" s="1"/>
      <c r="D134" s="9"/>
      <c r="E134" s="9"/>
      <c r="F134" s="1" t="s">
        <v>14</v>
      </c>
      <c r="G134" s="1">
        <f t="shared" si="3"/>
        <v>0</v>
      </c>
      <c r="I134" s="1"/>
      <c r="J134" s="1"/>
      <c r="K134" s="1"/>
      <c r="L134" s="1"/>
      <c r="M134" s="11"/>
      <c r="N134" s="11"/>
      <c r="O134" s="11"/>
      <c r="P134" s="11"/>
      <c r="Q134" s="11"/>
      <c r="R134" s="1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s="10" customFormat="1">
      <c r="A135" s="6"/>
      <c r="B135" s="1"/>
      <c r="C135" s="1"/>
      <c r="D135" s="9"/>
      <c r="E135" s="9"/>
      <c r="F135" s="1" t="s">
        <v>12</v>
      </c>
      <c r="G135" s="1">
        <f t="shared" si="3"/>
        <v>0</v>
      </c>
      <c r="I135" s="1"/>
      <c r="J135" s="1"/>
      <c r="K135" s="1"/>
      <c r="L135" s="1"/>
      <c r="M135" s="11"/>
      <c r="N135" s="11"/>
      <c r="O135" s="11"/>
      <c r="P135" s="11"/>
      <c r="Q135" s="11"/>
      <c r="R135" s="1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s="10" customFormat="1">
      <c r="A136" s="6"/>
      <c r="B136" s="1"/>
      <c r="C136" s="1"/>
      <c r="D136" s="9"/>
      <c r="E136" s="9"/>
      <c r="F136" s="1" t="s">
        <v>5</v>
      </c>
      <c r="G136" s="1">
        <f t="shared" si="3"/>
        <v>0</v>
      </c>
      <c r="I136" s="1"/>
      <c r="J136" s="1"/>
      <c r="K136" s="1"/>
      <c r="L136" s="1"/>
      <c r="M136" s="11"/>
      <c r="N136" s="11"/>
      <c r="O136" s="11"/>
      <c r="P136" s="11"/>
      <c r="Q136" s="11"/>
      <c r="R136" s="1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</sheetData>
  <autoFilter ref="A2:R111" xr:uid="{2868FDAE-6660-4894-87E7-1903FFD8C5DC}">
    <filterColumn colId="4">
      <filters>
        <filter val="Moissonneuse Batteuse"/>
      </filters>
    </filterColumn>
  </autoFilter>
  <phoneticPr fontId="16"/>
  <dataValidations disablePrompts="1" count="8">
    <dataValidation type="list" allowBlank="1" showInputMessage="1" showErrorMessage="1" sqref="F49" xr:uid="{B79E01FC-1218-41E2-BF4A-5A7596345507}">
      <formula1>"Wouro sidy"</formula1>
    </dataValidation>
    <dataValidation type="list" allowBlank="1" showInputMessage="1" showErrorMessage="1" sqref="F53" xr:uid="{47E93A49-5DB3-4783-94F0-89B03DDFF8AA}">
      <formula1>"Ouro Sidy"</formula1>
    </dataValidation>
    <dataValidation type="list" allowBlank="1" showInputMessage="1" showErrorMessage="1" sqref="F37 F104" xr:uid="{C622C784-7B01-431A-8057-936B1C7CD153}">
      <formula1>"Ounaré"</formula1>
    </dataValidation>
    <dataValidation type="list" allowBlank="1" showInputMessage="1" showErrorMessage="1" sqref="F36" xr:uid="{566BD924-9D94-40AC-8C49-F5D6AF2C96CE}">
      <formula1>"Sinthiou Bamambé"</formula1>
    </dataValidation>
    <dataValidation type="list" allowBlank="1" showInputMessage="1" showErrorMessage="1" sqref="F27:F29 F19 F95 F98:F99" xr:uid="{C358E20F-37F1-4DD6-B089-360CE47CDDAA}">
      <formula1>"Hamady Ounaré"</formula1>
    </dataValidation>
    <dataValidation type="list" allowBlank="1" showInputMessage="1" showErrorMessage="1" sqref="F16:F17" xr:uid="{25B6603A-B8D0-4042-ABD6-2C9E22FBD833}">
      <formula1>"Waoundé"</formula1>
    </dataValidation>
    <dataValidation type="list" allowBlank="1" showInputMessage="1" showErrorMessage="1" sqref="F8" xr:uid="{5601D8BA-732A-480D-B012-26EC90B2D21A}">
      <formula1>"Dembacané"</formula1>
    </dataValidation>
    <dataValidation type="list" allowBlank="1" showInputMessage="1" showErrorMessage="1" sqref="F11 F25:F26 F32:F33 F3:F5 F38 F52 F43:F47 F54:F56 F97 F102" xr:uid="{E2661DBE-A33B-4C56-942E-DBB22557D02D}">
      <formula1>"Orkadiéré"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DC66-C5C3-4975-9230-F3310947147E}">
  <dimension ref="A1:AH158"/>
  <sheetViews>
    <sheetView workbookViewId="0">
      <pane xSplit="6" ySplit="2" topLeftCell="G74" activePane="bottomRight" state="frozen"/>
      <selection pane="topRight" activeCell="G1" sqref="G1"/>
      <selection pane="bottomLeft" activeCell="A2" sqref="A2"/>
      <selection pane="bottomRight" activeCell="O2" sqref="O2"/>
    </sheetView>
  </sheetViews>
  <sheetFormatPr baseColWidth="10" defaultColWidth="10.90625" defaultRowHeight="14.5"/>
  <cols>
    <col min="1" max="1" width="3.81640625" style="6" customWidth="1"/>
    <col min="2" max="2" width="9.1796875" style="1" customWidth="1"/>
    <col min="3" max="3" width="29.1796875" style="1" customWidth="1"/>
    <col min="4" max="4" width="10.90625" style="9"/>
    <col min="5" max="5" width="14.1796875" style="9" bestFit="1" customWidth="1"/>
    <col min="6" max="6" width="14.1796875" style="9" customWidth="1"/>
    <col min="7" max="8" width="13.1796875" style="1" customWidth="1"/>
    <col min="9" max="9" width="25.81640625" style="10" customWidth="1"/>
    <col min="10" max="10" width="12.81640625" style="1" customWidth="1"/>
    <col min="11" max="12" width="10.90625" style="1"/>
    <col min="13" max="13" width="13.36328125" style="1" bestFit="1" customWidth="1"/>
    <col min="14" max="24" width="10.90625" style="11"/>
    <col min="25" max="25" width="10.90625" style="1"/>
    <col min="26" max="29" width="12.54296875" style="1" customWidth="1"/>
    <col min="30" max="30" width="10.90625" style="1"/>
    <col min="31" max="31" width="25.81640625" style="1" customWidth="1"/>
    <col min="32" max="32" width="10.90625" style="1"/>
    <col min="33" max="33" width="25.81640625" style="1" customWidth="1"/>
    <col min="34" max="16384" width="10.90625" style="1"/>
  </cols>
  <sheetData>
    <row r="1" spans="1:34">
      <c r="Z1" s="35" t="s">
        <v>307</v>
      </c>
      <c r="AA1" s="35"/>
      <c r="AB1" s="35" t="s">
        <v>308</v>
      </c>
      <c r="AC1" s="35"/>
      <c r="AE1" s="38" t="s">
        <v>307</v>
      </c>
      <c r="AF1" s="38"/>
      <c r="AG1" s="38" t="s">
        <v>308</v>
      </c>
      <c r="AH1" s="38"/>
    </row>
    <row r="2" spans="1:34" ht="24">
      <c r="A2" s="7" t="s">
        <v>106</v>
      </c>
      <c r="B2" s="2" t="s">
        <v>0</v>
      </c>
      <c r="C2" s="2" t="s">
        <v>1</v>
      </c>
      <c r="D2" s="8" t="s">
        <v>108</v>
      </c>
      <c r="E2" s="27" t="s">
        <v>273</v>
      </c>
      <c r="F2" s="27"/>
      <c r="G2" s="2" t="s">
        <v>207</v>
      </c>
      <c r="H2" s="12" t="s">
        <v>206</v>
      </c>
      <c r="I2" s="2" t="s">
        <v>2</v>
      </c>
      <c r="J2" s="2" t="s">
        <v>109</v>
      </c>
      <c r="K2" s="3" t="s">
        <v>349</v>
      </c>
      <c r="L2" s="3" t="s">
        <v>347</v>
      </c>
      <c r="M2" s="3" t="s">
        <v>348</v>
      </c>
      <c r="N2" s="3" t="s">
        <v>110</v>
      </c>
      <c r="O2" s="3" t="s">
        <v>6</v>
      </c>
      <c r="P2" s="3" t="s">
        <v>7</v>
      </c>
      <c r="Q2" s="4" t="s">
        <v>111</v>
      </c>
      <c r="R2" s="4" t="s">
        <v>107</v>
      </c>
      <c r="S2" s="4" t="s">
        <v>7</v>
      </c>
      <c r="T2" s="5" t="s">
        <v>347</v>
      </c>
      <c r="U2" s="5" t="s">
        <v>348</v>
      </c>
      <c r="V2" s="5" t="s">
        <v>8</v>
      </c>
      <c r="W2" s="5" t="s">
        <v>112</v>
      </c>
      <c r="X2" s="5" t="s">
        <v>7</v>
      </c>
      <c r="Z2" s="36" t="s">
        <v>309</v>
      </c>
      <c r="AA2" s="36" t="s">
        <v>310</v>
      </c>
      <c r="AB2" s="36" t="s">
        <v>309</v>
      </c>
      <c r="AC2" s="36" t="s">
        <v>310</v>
      </c>
      <c r="AE2" s="39" t="s">
        <v>311</v>
      </c>
      <c r="AF2" s="39" t="s">
        <v>312</v>
      </c>
      <c r="AG2" s="39" t="s">
        <v>311</v>
      </c>
      <c r="AH2" s="39" t="s">
        <v>312</v>
      </c>
    </row>
    <row r="3" spans="1:34" ht="29">
      <c r="A3" s="45">
        <v>1</v>
      </c>
      <c r="B3" s="46" t="s">
        <v>14</v>
      </c>
      <c r="C3" s="47" t="s">
        <v>4</v>
      </c>
      <c r="D3" s="46" t="s">
        <v>235</v>
      </c>
      <c r="E3" s="46" t="s">
        <v>274</v>
      </c>
      <c r="F3" s="46"/>
      <c r="G3" s="46" t="s">
        <v>5</v>
      </c>
      <c r="H3" s="46" t="s">
        <v>5</v>
      </c>
      <c r="I3" s="47" t="s">
        <v>4</v>
      </c>
      <c r="J3" s="46">
        <v>771654286</v>
      </c>
      <c r="K3" s="48" t="s">
        <v>9</v>
      </c>
      <c r="L3" s="48"/>
      <c r="M3" s="48"/>
      <c r="N3" s="48">
        <v>100</v>
      </c>
      <c r="O3" s="49" t="s">
        <v>277</v>
      </c>
      <c r="P3" s="48">
        <v>2019</v>
      </c>
      <c r="Q3" s="48" t="s">
        <v>10</v>
      </c>
      <c r="R3" s="49" t="s">
        <v>277</v>
      </c>
      <c r="S3" s="48">
        <v>2019</v>
      </c>
      <c r="T3" s="50"/>
      <c r="U3" s="50"/>
      <c r="V3" s="50"/>
      <c r="W3" s="51"/>
      <c r="X3" s="50"/>
      <c r="Z3" s="37" t="str" cm="1">
        <f t="array" ref="Z3">IFERROR(_xlfn._xlws.FILTER(C3,E3="Tractor"),"")</f>
        <v>Abdoulaye Bocar NDIAYE</v>
      </c>
      <c r="AA3" s="1" t="str" cm="1">
        <f t="array" ref="AA3:AA75">_xlfn.UNIQUE(Z3:Z94)</f>
        <v>Abdoulaye Bocar NDIAYE</v>
      </c>
      <c r="AB3" s="37" t="str" cm="1">
        <f t="array" ref="AB3">IFERROR(_xlfn._xlws.FILTER(C3,F3="Combine Harvester"),"")</f>
        <v/>
      </c>
      <c r="AC3" s="1" t="str" cm="1">
        <f t="array" ref="AC3:AC11">_xlfn.UNIQUE(AB3:AB94)</f>
        <v/>
      </c>
      <c r="AE3" s="41" t="s">
        <v>224</v>
      </c>
      <c r="AF3" s="40" t="str">
        <f>_xlfn.XLOOKUP(AE3,$C$3:$C$94,$D$3:$D$94,"")</f>
        <v>Union</v>
      </c>
      <c r="AG3" s="41" t="s">
        <v>315</v>
      </c>
      <c r="AH3" s="40" t="str">
        <f>_xlfn.XLOOKUP(AG3,$C$3:$C$94,$D$3:$D$94,"")</f>
        <v>Union</v>
      </c>
    </row>
    <row r="4" spans="1:34" ht="29">
      <c r="A4" s="52">
        <v>1</v>
      </c>
      <c r="B4" s="46" t="s">
        <v>23</v>
      </c>
      <c r="C4" s="47" t="s">
        <v>113</v>
      </c>
      <c r="D4" s="46" t="s">
        <v>236</v>
      </c>
      <c r="E4" s="46" t="s">
        <v>275</v>
      </c>
      <c r="F4" s="46"/>
      <c r="G4" s="46" t="s">
        <v>114</v>
      </c>
      <c r="H4" s="46" t="s">
        <v>300</v>
      </c>
      <c r="I4" s="47" t="s">
        <v>113</v>
      </c>
      <c r="J4" s="46">
        <v>776365447</v>
      </c>
      <c r="K4" s="48" t="s">
        <v>9</v>
      </c>
      <c r="L4" s="48"/>
      <c r="M4" s="48"/>
      <c r="N4" s="48">
        <v>100</v>
      </c>
      <c r="O4" s="49" t="s">
        <v>277</v>
      </c>
      <c r="P4" s="48">
        <v>2019</v>
      </c>
      <c r="Q4" s="48" t="s">
        <v>10</v>
      </c>
      <c r="R4" s="48" t="s">
        <v>277</v>
      </c>
      <c r="S4" s="48">
        <v>2019</v>
      </c>
      <c r="T4" s="48"/>
      <c r="U4" s="48"/>
      <c r="V4" s="48"/>
      <c r="W4" s="48"/>
      <c r="X4" s="48"/>
      <c r="Z4" s="37" t="str" cm="1">
        <f t="array" ref="Z4">IFERROR(_xlfn._xlws.FILTER(C4,E4="Tractor"),"")</f>
        <v>Abdoulaye Djiby THIAM</v>
      </c>
      <c r="AA4" s="1" t="str">
        <v>Abdoulaye Djiby THIAM</v>
      </c>
      <c r="AB4" s="37" t="str" cm="1">
        <f t="array" ref="AB4">IFERROR(_xlfn._xlws.FILTER(C4,F4="Combine Harvester"),"")</f>
        <v/>
      </c>
      <c r="AC4" s="1" t="str">
        <v>GIE Dagano</v>
      </c>
      <c r="AE4" s="41" t="s">
        <v>313</v>
      </c>
      <c r="AF4" s="40" t="str">
        <f t="shared" ref="AF4:AF67" si="0">_xlfn.XLOOKUP(AE4,$C$3:$C$94,$D$3:$D$94,"")</f>
        <v>Union</v>
      </c>
      <c r="AG4" s="41" t="s">
        <v>320</v>
      </c>
      <c r="AH4" s="40" t="str">
        <f t="shared" ref="AH4:AH10" si="1">_xlfn.XLOOKUP(AG4,$C$3:$C$94,$D$3:$D$94,"")</f>
        <v>Private</v>
      </c>
    </row>
    <row r="5" spans="1:34" ht="29">
      <c r="A5" s="53">
        <v>2</v>
      </c>
      <c r="B5" s="46" t="s">
        <v>14</v>
      </c>
      <c r="C5" s="47" t="s">
        <v>11</v>
      </c>
      <c r="D5" s="46" t="s">
        <v>235</v>
      </c>
      <c r="E5" s="46" t="s">
        <v>275</v>
      </c>
      <c r="F5" s="46"/>
      <c r="G5" s="46" t="s">
        <v>12</v>
      </c>
      <c r="H5" s="54" t="s">
        <v>5</v>
      </c>
      <c r="I5" s="47" t="s">
        <v>11</v>
      </c>
      <c r="J5" s="46">
        <v>776143821</v>
      </c>
      <c r="K5" s="48" t="s">
        <v>9</v>
      </c>
      <c r="L5" s="48"/>
      <c r="M5" s="48"/>
      <c r="N5" s="48">
        <v>100</v>
      </c>
      <c r="O5" s="49" t="s">
        <v>277</v>
      </c>
      <c r="P5" s="48">
        <v>2019</v>
      </c>
      <c r="Q5" s="48" t="s">
        <v>10</v>
      </c>
      <c r="R5" s="48" t="s">
        <v>277</v>
      </c>
      <c r="S5" s="48">
        <v>2019</v>
      </c>
      <c r="T5" s="50"/>
      <c r="U5" s="50"/>
      <c r="V5" s="50"/>
      <c r="W5" s="50"/>
      <c r="X5" s="50"/>
      <c r="Z5" s="37" t="str" cm="1">
        <f t="array" ref="Z5">IFERROR(_xlfn._xlws.FILTER(C5,E5="Tractor"),"")</f>
        <v>Abou DIAW</v>
      </c>
      <c r="AA5" s="1" t="str">
        <v>Abou DIAW</v>
      </c>
      <c r="AB5" s="37" t="str" cm="1">
        <f t="array" ref="AB5">IFERROR(_xlfn._xlws.FILTER(C5,F5="Combine Harvester"),"")</f>
        <v/>
      </c>
      <c r="AC5" s="1" t="str">
        <v>GIE Townde</v>
      </c>
      <c r="AE5" s="41" t="s">
        <v>95</v>
      </c>
      <c r="AF5" s="40" t="str">
        <f t="shared" si="0"/>
        <v>Private</v>
      </c>
      <c r="AG5" s="41" t="s">
        <v>180</v>
      </c>
      <c r="AH5" s="40" t="str">
        <f t="shared" si="1"/>
        <v>Union</v>
      </c>
    </row>
    <row r="6" spans="1:34" ht="18" customHeight="1">
      <c r="A6" s="52">
        <v>2</v>
      </c>
      <c r="B6" s="55" t="s">
        <v>3</v>
      </c>
      <c r="C6" s="56" t="s">
        <v>115</v>
      </c>
      <c r="D6" s="46" t="s">
        <v>236</v>
      </c>
      <c r="E6" s="46" t="s">
        <v>275</v>
      </c>
      <c r="F6" s="46"/>
      <c r="G6" s="57" t="s">
        <v>114</v>
      </c>
      <c r="H6" s="46" t="s">
        <v>300</v>
      </c>
      <c r="I6" s="58" t="s">
        <v>116</v>
      </c>
      <c r="J6" s="55">
        <v>774077602</v>
      </c>
      <c r="K6" s="48" t="s">
        <v>29</v>
      </c>
      <c r="L6" s="48"/>
      <c r="M6" s="48"/>
      <c r="N6" s="48" t="s">
        <v>30</v>
      </c>
      <c r="O6" s="49" t="s">
        <v>277</v>
      </c>
      <c r="P6" s="48">
        <v>2015</v>
      </c>
      <c r="Q6" s="48" t="s">
        <v>10</v>
      </c>
      <c r="R6" s="49" t="s">
        <v>277</v>
      </c>
      <c r="S6" s="48">
        <v>2015</v>
      </c>
      <c r="T6" s="48"/>
      <c r="U6" s="48"/>
      <c r="V6" s="48"/>
      <c r="W6" s="49"/>
      <c r="X6" s="48"/>
      <c r="Z6" s="37" t="str" cm="1">
        <f t="array" ref="Z6">IFERROR(_xlfn._xlws.FILTER(C6,E6="Tractor"),"")</f>
        <v>Comité de Gestion de Koundel 3</v>
      </c>
      <c r="AA6" s="1" t="str">
        <v>Comité de Gestion de Koundel 3</v>
      </c>
      <c r="AB6" s="37" t="str" cm="1">
        <f t="array" ref="AB6">IFERROR(_xlfn._xlws.FILTER(C6,F6="Combine Harvester"),"")</f>
        <v/>
      </c>
      <c r="AC6" s="1" t="str">
        <v>Union du Casier Doumga Ouro Thierno</v>
      </c>
      <c r="AE6" s="41" t="s">
        <v>231</v>
      </c>
      <c r="AF6" s="40" t="str">
        <f t="shared" si="0"/>
        <v>Private</v>
      </c>
      <c r="AG6" s="41" t="s">
        <v>193</v>
      </c>
      <c r="AH6" s="40" t="str">
        <f t="shared" si="1"/>
        <v>Private</v>
      </c>
    </row>
    <row r="7" spans="1:34" ht="14.25" customHeight="1">
      <c r="A7" s="45">
        <v>3</v>
      </c>
      <c r="B7" s="55" t="s">
        <v>14</v>
      </c>
      <c r="C7" s="58" t="s">
        <v>13</v>
      </c>
      <c r="D7" s="46" t="s">
        <v>235</v>
      </c>
      <c r="E7" s="46" t="s">
        <v>275</v>
      </c>
      <c r="F7" s="46"/>
      <c r="G7" s="55" t="s">
        <v>14</v>
      </c>
      <c r="H7" s="54" t="s">
        <v>5</v>
      </c>
      <c r="I7" s="58" t="s">
        <v>13</v>
      </c>
      <c r="J7" s="55" t="s">
        <v>15</v>
      </c>
      <c r="K7" s="48" t="s">
        <v>9</v>
      </c>
      <c r="L7" s="48"/>
      <c r="M7" s="48"/>
      <c r="N7" s="48">
        <v>100</v>
      </c>
      <c r="O7" s="49" t="s">
        <v>277</v>
      </c>
      <c r="P7" s="48">
        <v>2019</v>
      </c>
      <c r="Q7" s="48" t="s">
        <v>10</v>
      </c>
      <c r="R7" s="49" t="s">
        <v>277</v>
      </c>
      <c r="S7" s="48">
        <v>2019</v>
      </c>
      <c r="T7" s="50"/>
      <c r="U7" s="50"/>
      <c r="V7" s="50"/>
      <c r="W7" s="51"/>
      <c r="X7" s="50"/>
      <c r="Z7" s="37" t="str" cm="1">
        <f t="array" ref="Z7">IFERROR(_xlfn._xlws.FILTER(C7,E7="Tractor"),"")</f>
        <v>Aboubacry Goby BASSOUM</v>
      </c>
      <c r="AA7" s="1" t="str">
        <v>Aboubacry Goby BASSOUM</v>
      </c>
      <c r="AB7" s="37" t="str" cm="1">
        <f t="array" ref="AB7">IFERROR(_xlfn._xlws.FILTER(C7,F7="Combine Harvester"),"")</f>
        <v/>
      </c>
      <c r="AC7" s="1" t="str">
        <v>Union Hydraulique de Kobilo</v>
      </c>
      <c r="AE7" s="41" t="s">
        <v>99</v>
      </c>
      <c r="AF7" s="40" t="str">
        <f t="shared" si="0"/>
        <v>Private</v>
      </c>
      <c r="AG7" s="41" t="s">
        <v>332</v>
      </c>
      <c r="AH7" s="40" t="str">
        <f t="shared" si="1"/>
        <v>Union</v>
      </c>
    </row>
    <row r="8" spans="1:34" ht="17.25" customHeight="1">
      <c r="A8" s="52">
        <v>3</v>
      </c>
      <c r="B8" s="55" t="s">
        <v>3</v>
      </c>
      <c r="C8" s="56" t="s">
        <v>117</v>
      </c>
      <c r="D8" s="46" t="s">
        <v>236</v>
      </c>
      <c r="E8" s="46" t="s">
        <v>275</v>
      </c>
      <c r="F8" s="46"/>
      <c r="G8" s="57" t="s">
        <v>114</v>
      </c>
      <c r="H8" s="55" t="s">
        <v>300</v>
      </c>
      <c r="I8" s="58" t="s">
        <v>118</v>
      </c>
      <c r="J8" s="58" t="s">
        <v>119</v>
      </c>
      <c r="K8" s="48" t="s">
        <v>29</v>
      </c>
      <c r="L8" s="48"/>
      <c r="M8" s="48"/>
      <c r="N8" s="48" t="s">
        <v>30</v>
      </c>
      <c r="O8" s="49" t="s">
        <v>277</v>
      </c>
      <c r="P8" s="48">
        <v>2015</v>
      </c>
      <c r="Q8" s="48" t="s">
        <v>10</v>
      </c>
      <c r="R8" s="49" t="s">
        <v>277</v>
      </c>
      <c r="S8" s="48">
        <v>2015</v>
      </c>
      <c r="T8" s="48"/>
      <c r="U8" s="48"/>
      <c r="V8" s="48"/>
      <c r="W8" s="49"/>
      <c r="X8" s="48"/>
      <c r="Z8" s="37" t="str" cm="1">
        <f t="array" ref="Z8">IFERROR(_xlfn._xlws.FILTER(C8,E8="Tractor"),"")</f>
        <v>Comité de Gestion de Woudourou 1</v>
      </c>
      <c r="AA8" s="1" t="str">
        <v>Comité de Gestion de Woudourou 1</v>
      </c>
      <c r="AB8" s="37" t="str" cm="1">
        <f t="array" ref="AB8">IFERROR(_xlfn._xlws.FILTER(C8,F8="Combine Harvester"),"")</f>
        <v/>
      </c>
      <c r="AC8" s="1" t="str">
        <v>Union Hydraulique de Hamady Ounaré</v>
      </c>
      <c r="AE8" s="41" t="s">
        <v>314</v>
      </c>
      <c r="AF8" s="40" t="str">
        <f t="shared" si="0"/>
        <v>Union</v>
      </c>
      <c r="AG8" s="41" t="s">
        <v>191</v>
      </c>
      <c r="AH8" s="40" t="str">
        <f t="shared" si="1"/>
        <v>Private</v>
      </c>
    </row>
    <row r="9" spans="1:34" ht="17.25" customHeight="1">
      <c r="A9" s="53">
        <v>4</v>
      </c>
      <c r="B9" s="55" t="s">
        <v>14</v>
      </c>
      <c r="C9" s="56" t="s">
        <v>16</v>
      </c>
      <c r="D9" s="59" t="s">
        <v>235</v>
      </c>
      <c r="E9" s="46" t="s">
        <v>275</v>
      </c>
      <c r="F9" s="46"/>
      <c r="G9" s="57" t="s">
        <v>17</v>
      </c>
      <c r="H9" s="13" t="s">
        <v>303</v>
      </c>
      <c r="I9" s="58" t="s">
        <v>18</v>
      </c>
      <c r="J9" s="55" t="s">
        <v>19</v>
      </c>
      <c r="K9" s="48" t="s">
        <v>22</v>
      </c>
      <c r="L9" s="48"/>
      <c r="M9" s="48"/>
      <c r="N9" s="48">
        <v>125</v>
      </c>
      <c r="O9" s="49" t="s">
        <v>277</v>
      </c>
      <c r="P9" s="48">
        <v>2016</v>
      </c>
      <c r="Q9" s="48" t="s">
        <v>10</v>
      </c>
      <c r="R9" s="49" t="s">
        <v>277</v>
      </c>
      <c r="S9" s="48">
        <v>2016</v>
      </c>
      <c r="T9" s="50"/>
      <c r="U9" s="50"/>
      <c r="V9" s="50"/>
      <c r="W9" s="51"/>
      <c r="X9" s="50"/>
      <c r="Z9" s="37" t="str" cm="1">
        <f t="array" ref="Z9">IFERROR(_xlfn._xlws.FILTER(C9,E9="Tractor"),"")</f>
        <v>Association des Agriculteurs de Waoundé</v>
      </c>
      <c r="AA9" s="1" t="str">
        <v>Association des Agriculteurs de Waoundé</v>
      </c>
      <c r="AB9" s="37" t="str" cm="1">
        <f t="array" ref="AB9">IFERROR(_xlfn._xlws.FILTER(C9,F9="Combine Harvester"),"")</f>
        <v/>
      </c>
      <c r="AC9" s="1" t="str">
        <v>Union Hydraulique de Ndouloumadji</v>
      </c>
      <c r="AE9" s="41" t="s">
        <v>315</v>
      </c>
      <c r="AF9" s="40" t="str">
        <f t="shared" si="0"/>
        <v>Union</v>
      </c>
      <c r="AG9" s="41" t="s">
        <v>342</v>
      </c>
      <c r="AH9" s="40" t="str">
        <f t="shared" si="1"/>
        <v>Private</v>
      </c>
    </row>
    <row r="10" spans="1:34" ht="18" customHeight="1">
      <c r="A10" s="52">
        <v>4</v>
      </c>
      <c r="B10" s="55" t="s">
        <v>3</v>
      </c>
      <c r="C10" s="56" t="s">
        <v>120</v>
      </c>
      <c r="D10" s="46" t="s">
        <v>236</v>
      </c>
      <c r="E10" s="46" t="s">
        <v>275</v>
      </c>
      <c r="F10" s="46"/>
      <c r="G10" s="57" t="s">
        <v>114</v>
      </c>
      <c r="H10" s="55" t="s">
        <v>300</v>
      </c>
      <c r="I10" s="58" t="s">
        <v>121</v>
      </c>
      <c r="J10" s="58" t="s">
        <v>122</v>
      </c>
      <c r="K10" s="48" t="s">
        <v>22</v>
      </c>
      <c r="L10" s="48"/>
      <c r="M10" s="48"/>
      <c r="N10" s="48">
        <v>125</v>
      </c>
      <c r="O10" s="49" t="s">
        <v>277</v>
      </c>
      <c r="P10" s="48">
        <v>2016</v>
      </c>
      <c r="Q10" s="48" t="s">
        <v>10</v>
      </c>
      <c r="R10" s="49" t="s">
        <v>277</v>
      </c>
      <c r="S10" s="48">
        <v>2016</v>
      </c>
      <c r="T10" s="48"/>
      <c r="U10" s="48"/>
      <c r="V10" s="48"/>
      <c r="W10" s="49"/>
      <c r="X10" s="48"/>
      <c r="Z10" s="37" t="str" cm="1">
        <f t="array" ref="Z10">IFERROR(_xlfn._xlws.FILTER(C10,E10="Tractor"),"")</f>
        <v>Déworoy Jokkéré Endam</v>
      </c>
      <c r="AA10" s="1" t="str">
        <v>Déworoy Jokkéré Endam</v>
      </c>
      <c r="AB10" s="37" t="str" cm="1">
        <f t="array" ref="AB10">IFERROR(_xlfn._xlws.FILTER(C10,F10="Combine Harvester"),"")</f>
        <v/>
      </c>
      <c r="AC10" s="1" t="str">
        <v>Union Régionale des Interprofessionnels de Semences (URIS)</v>
      </c>
      <c r="AE10" s="41" t="s">
        <v>33</v>
      </c>
      <c r="AF10" s="40" t="str">
        <f t="shared" si="0"/>
        <v>Private</v>
      </c>
      <c r="AG10" s="41" t="s">
        <v>343</v>
      </c>
      <c r="AH10" s="40" t="str">
        <f t="shared" si="1"/>
        <v>Union</v>
      </c>
    </row>
    <row r="11" spans="1:34" ht="17.25" customHeight="1">
      <c r="A11" s="45">
        <v>5</v>
      </c>
      <c r="B11" s="55" t="s">
        <v>14</v>
      </c>
      <c r="C11" s="58" t="s">
        <v>20</v>
      </c>
      <c r="D11" s="46" t="s">
        <v>235</v>
      </c>
      <c r="E11" s="46" t="s">
        <v>275</v>
      </c>
      <c r="F11" s="46"/>
      <c r="G11" s="55" t="s">
        <v>21</v>
      </c>
      <c r="H11" s="60" t="s">
        <v>302</v>
      </c>
      <c r="I11" s="58" t="s">
        <v>20</v>
      </c>
      <c r="J11" s="55">
        <v>775759153</v>
      </c>
      <c r="K11" s="48" t="s">
        <v>9</v>
      </c>
      <c r="L11" s="48"/>
      <c r="M11" s="48"/>
      <c r="N11" s="48">
        <v>100</v>
      </c>
      <c r="O11" s="49" t="s">
        <v>277</v>
      </c>
      <c r="P11" s="48">
        <v>2019</v>
      </c>
      <c r="Q11" s="48" t="s">
        <v>10</v>
      </c>
      <c r="R11" s="49" t="s">
        <v>277</v>
      </c>
      <c r="S11" s="48">
        <v>2019</v>
      </c>
      <c r="T11" s="50"/>
      <c r="U11" s="50"/>
      <c r="V11" s="50"/>
      <c r="W11" s="51"/>
      <c r="X11" s="50"/>
      <c r="Z11" s="37" t="str" cm="1">
        <f t="array" ref="Z11">IFERROR(_xlfn._xlws.FILTER(C11,E11="Tractor"),"")</f>
        <v>Bocar DAFF</v>
      </c>
      <c r="AA11" s="1" t="str">
        <v>Bocar DAFF</v>
      </c>
      <c r="AB11" s="37" t="str" cm="1">
        <f t="array" ref="AB11">IFERROR(_xlfn._xlws.FILTER(C11,F11="Combine Harvester"),"")</f>
        <v/>
      </c>
      <c r="AC11" s="1" t="str">
        <v>Makhana Diéri</v>
      </c>
      <c r="AE11" s="41" t="s">
        <v>24</v>
      </c>
      <c r="AF11" s="40" t="str">
        <f t="shared" si="0"/>
        <v>Private</v>
      </c>
      <c r="AG11" s="13"/>
      <c r="AH11" s="13"/>
    </row>
    <row r="12" spans="1:34" ht="18.75" customHeight="1">
      <c r="A12" s="52">
        <v>5</v>
      </c>
      <c r="B12" s="55" t="s">
        <v>23</v>
      </c>
      <c r="C12" s="58" t="s">
        <v>123</v>
      </c>
      <c r="D12" s="46" t="s">
        <v>236</v>
      </c>
      <c r="E12" s="46" t="s">
        <v>275</v>
      </c>
      <c r="F12" s="46"/>
      <c r="G12" s="55" t="s">
        <v>124</v>
      </c>
      <c r="H12" s="55" t="s">
        <v>209</v>
      </c>
      <c r="I12" s="58" t="s">
        <v>123</v>
      </c>
      <c r="J12" s="55">
        <v>77120989</v>
      </c>
      <c r="K12" s="48" t="s">
        <v>9</v>
      </c>
      <c r="L12" s="48"/>
      <c r="M12" s="48"/>
      <c r="N12" s="48">
        <v>100</v>
      </c>
      <c r="O12" s="49" t="s">
        <v>277</v>
      </c>
      <c r="P12" s="48">
        <v>2019</v>
      </c>
      <c r="Q12" s="48" t="s">
        <v>10</v>
      </c>
      <c r="R12" s="49" t="s">
        <v>277</v>
      </c>
      <c r="S12" s="48">
        <v>2019</v>
      </c>
      <c r="T12" s="48"/>
      <c r="U12" s="48"/>
      <c r="V12" s="48"/>
      <c r="W12" s="49"/>
      <c r="X12" s="48"/>
      <c r="Z12" s="37" t="str" cm="1">
        <f t="array" ref="Z12">IFERROR(_xlfn._xlws.FILTER(C12,E12="Tractor"),"")</f>
        <v>Dieynaba Abdoul SY</v>
      </c>
      <c r="AA12" s="1" t="str">
        <v>Dieynaba Abdoul SY</v>
      </c>
      <c r="AB12" s="37" t="str" cm="1">
        <f t="array" ref="AB12">IFERROR(_xlfn._xlws.FILTER(C12,F12="Combine Harvester"),"")</f>
        <v/>
      </c>
      <c r="AE12" s="41" t="s">
        <v>316</v>
      </c>
      <c r="AF12" s="40" t="str">
        <f t="shared" si="0"/>
        <v>Private</v>
      </c>
      <c r="AG12" s="13"/>
      <c r="AH12" s="13"/>
    </row>
    <row r="13" spans="1:34" ht="18" customHeight="1">
      <c r="A13" s="53">
        <v>6</v>
      </c>
      <c r="B13" s="55" t="s">
        <v>14</v>
      </c>
      <c r="C13" s="58" t="s">
        <v>24</v>
      </c>
      <c r="D13" s="46" t="s">
        <v>235</v>
      </c>
      <c r="E13" s="46" t="s">
        <v>275</v>
      </c>
      <c r="F13" s="46"/>
      <c r="G13" s="55" t="s">
        <v>25</v>
      </c>
      <c r="H13" s="60" t="s">
        <v>302</v>
      </c>
      <c r="I13" s="58" t="s">
        <v>24</v>
      </c>
      <c r="J13" s="55">
        <v>776574960</v>
      </c>
      <c r="K13" s="48" t="s">
        <v>9</v>
      </c>
      <c r="L13" s="48"/>
      <c r="M13" s="48"/>
      <c r="N13" s="48">
        <v>100</v>
      </c>
      <c r="O13" s="49" t="s">
        <v>277</v>
      </c>
      <c r="P13" s="48">
        <v>2019</v>
      </c>
      <c r="Q13" s="48" t="s">
        <v>10</v>
      </c>
      <c r="R13" s="49" t="s">
        <v>277</v>
      </c>
      <c r="S13" s="48">
        <v>2019</v>
      </c>
      <c r="T13" s="50"/>
      <c r="U13" s="50"/>
      <c r="V13" s="50"/>
      <c r="W13" s="51"/>
      <c r="X13" s="50"/>
      <c r="Z13" s="37" t="str" cm="1">
        <f t="array" ref="Z13">IFERROR(_xlfn._xlws.FILTER(C13,E13="Tractor"),"")</f>
        <v>Diango DIABY</v>
      </c>
      <c r="AA13" s="1" t="str">
        <v>Diango DIABY</v>
      </c>
      <c r="AB13" s="37" t="str" cm="1">
        <f t="array" ref="AB13">IFERROR(_xlfn._xlws.FILTER(C13,F13="Combine Harvester"),"")</f>
        <v/>
      </c>
      <c r="AE13" s="41" t="s">
        <v>317</v>
      </c>
      <c r="AF13" s="40" t="str">
        <f t="shared" si="0"/>
        <v>Private</v>
      </c>
      <c r="AG13" s="13"/>
      <c r="AH13" s="13"/>
    </row>
    <row r="14" spans="1:34" ht="18" customHeight="1">
      <c r="A14" s="52">
        <v>6</v>
      </c>
      <c r="B14" s="55" t="s">
        <v>3</v>
      </c>
      <c r="C14" s="56" t="s">
        <v>125</v>
      </c>
      <c r="D14" s="46" t="s">
        <v>236</v>
      </c>
      <c r="E14" s="46" t="s">
        <v>275</v>
      </c>
      <c r="F14" s="46"/>
      <c r="G14" s="57" t="s">
        <v>114</v>
      </c>
      <c r="H14" s="55" t="s">
        <v>300</v>
      </c>
      <c r="I14" s="58" t="s">
        <v>126</v>
      </c>
      <c r="J14" s="55" t="s">
        <v>127</v>
      </c>
      <c r="K14" s="48" t="s">
        <v>22</v>
      </c>
      <c r="L14" s="48"/>
      <c r="M14" s="48"/>
      <c r="N14" s="48">
        <v>125</v>
      </c>
      <c r="O14" s="49" t="s">
        <v>277</v>
      </c>
      <c r="P14" s="48">
        <v>2016</v>
      </c>
      <c r="Q14" s="48" t="s">
        <v>10</v>
      </c>
      <c r="R14" s="49" t="s">
        <v>277</v>
      </c>
      <c r="S14" s="48">
        <v>2016</v>
      </c>
      <c r="T14" s="48"/>
      <c r="U14" s="48"/>
      <c r="V14" s="48"/>
      <c r="W14" s="49"/>
      <c r="X14" s="48"/>
      <c r="Z14" s="37" t="str" cm="1">
        <f t="array" ref="Z14">IFERROR(_xlfn._xlws.FILTER(C14,E14="Tractor"),"")</f>
        <v>GIE Alphala</v>
      </c>
      <c r="AA14" s="1" t="str">
        <v>GIE Alphala</v>
      </c>
      <c r="AB14" s="37" t="str" cm="1">
        <f t="array" ref="AB14">IFERROR(_xlfn._xlws.FILTER(C14,F14="Combine Harvester"),"")</f>
        <v/>
      </c>
      <c r="AE14" s="41" t="s">
        <v>89</v>
      </c>
      <c r="AF14" s="40" t="str">
        <f t="shared" si="0"/>
        <v>Private</v>
      </c>
      <c r="AG14" s="13"/>
      <c r="AH14" s="13"/>
    </row>
    <row r="15" spans="1:34" ht="21.75" customHeight="1">
      <c r="A15" s="45">
        <v>7</v>
      </c>
      <c r="B15" s="55" t="s">
        <v>14</v>
      </c>
      <c r="C15" s="56" t="s">
        <v>26</v>
      </c>
      <c r="D15" s="59" t="s">
        <v>235</v>
      </c>
      <c r="E15" s="46" t="s">
        <v>275</v>
      </c>
      <c r="F15" s="46"/>
      <c r="G15" s="57" t="s">
        <v>25</v>
      </c>
      <c r="H15" s="60" t="s">
        <v>302</v>
      </c>
      <c r="I15" s="58" t="s">
        <v>27</v>
      </c>
      <c r="J15" s="55" t="s">
        <v>28</v>
      </c>
      <c r="K15" s="48" t="s">
        <v>29</v>
      </c>
      <c r="L15" s="48"/>
      <c r="M15" s="48"/>
      <c r="N15" s="48" t="s">
        <v>30</v>
      </c>
      <c r="O15" s="49" t="s">
        <v>277</v>
      </c>
      <c r="P15" s="48">
        <v>2015</v>
      </c>
      <c r="Q15" s="48" t="s">
        <v>10</v>
      </c>
      <c r="R15" s="49" t="s">
        <v>277</v>
      </c>
      <c r="S15" s="48">
        <v>2015</v>
      </c>
      <c r="T15" s="50"/>
      <c r="U15" s="50"/>
      <c r="V15" s="50"/>
      <c r="W15" s="51"/>
      <c r="X15" s="50"/>
      <c r="Z15" s="37" t="str" cm="1">
        <f t="array" ref="Z15">IFERROR(_xlfn._xlws.FILTER(C15,E15="Tractor"),"")</f>
        <v xml:space="preserve">GIE Alla Lewy </v>
      </c>
      <c r="AA15" s="1" t="str">
        <v xml:space="preserve">GIE Alla Lewy </v>
      </c>
      <c r="AB15" s="37" t="str" cm="1">
        <f t="array" ref="AB15">IFERROR(_xlfn._xlws.FILTER(C15,F15="Combine Harvester"),"")</f>
        <v/>
      </c>
      <c r="AE15" s="41" t="s">
        <v>20</v>
      </c>
      <c r="AF15" s="40" t="str">
        <f t="shared" si="0"/>
        <v>Private</v>
      </c>
      <c r="AG15" s="13"/>
      <c r="AH15" s="13"/>
    </row>
    <row r="16" spans="1:34" ht="20.25" customHeight="1">
      <c r="A16" s="52">
        <v>7</v>
      </c>
      <c r="B16" s="55" t="s">
        <v>3</v>
      </c>
      <c r="C16" s="56" t="s">
        <v>128</v>
      </c>
      <c r="D16" s="46" t="s">
        <v>236</v>
      </c>
      <c r="E16" s="46" t="s">
        <v>275</v>
      </c>
      <c r="F16" s="46"/>
      <c r="G16" s="57" t="s">
        <v>124</v>
      </c>
      <c r="H16" s="57" t="s">
        <v>209</v>
      </c>
      <c r="I16" s="58" t="s">
        <v>129</v>
      </c>
      <c r="J16" s="55" t="s">
        <v>130</v>
      </c>
      <c r="K16" s="48" t="s">
        <v>22</v>
      </c>
      <c r="L16" s="48"/>
      <c r="M16" s="48"/>
      <c r="N16" s="48">
        <v>125</v>
      </c>
      <c r="O16" s="49" t="s">
        <v>277</v>
      </c>
      <c r="P16" s="48">
        <v>2016</v>
      </c>
      <c r="Q16" s="48" t="s">
        <v>10</v>
      </c>
      <c r="R16" s="49" t="s">
        <v>277</v>
      </c>
      <c r="S16" s="48">
        <v>2016</v>
      </c>
      <c r="T16" s="48"/>
      <c r="U16" s="48"/>
      <c r="V16" s="48"/>
      <c r="W16" s="49"/>
      <c r="X16" s="48"/>
      <c r="Z16" s="37" t="str" cm="1">
        <f t="array" ref="Z16">IFERROR(_xlfn._xlws.FILTER(C16,E16="Tractor"),"")</f>
        <v>GIE Dowourou</v>
      </c>
      <c r="AA16" s="1" t="str">
        <v>GIE Dowourou</v>
      </c>
      <c r="AB16" s="37" t="str" cm="1">
        <f t="array" ref="AB16">IFERROR(_xlfn._xlws.FILTER(C16,F16="Combine Harvester"),"")</f>
        <v/>
      </c>
      <c r="AE16" s="41" t="s">
        <v>75</v>
      </c>
      <c r="AF16" s="40" t="str">
        <f t="shared" si="0"/>
        <v>Private</v>
      </c>
      <c r="AG16" s="13"/>
      <c r="AH16" s="13"/>
    </row>
    <row r="17" spans="1:34" ht="17.25" customHeight="1">
      <c r="A17" s="53">
        <v>8</v>
      </c>
      <c r="B17" s="55" t="s">
        <v>14</v>
      </c>
      <c r="C17" s="56" t="s">
        <v>31</v>
      </c>
      <c r="D17" s="59" t="s">
        <v>32</v>
      </c>
      <c r="E17" s="46" t="s">
        <v>275</v>
      </c>
      <c r="F17" s="46"/>
      <c r="G17" s="57" t="s">
        <v>25</v>
      </c>
      <c r="H17" s="60" t="s">
        <v>302</v>
      </c>
      <c r="I17" s="58" t="s">
        <v>33</v>
      </c>
      <c r="J17" s="61" t="s">
        <v>34</v>
      </c>
      <c r="K17" s="48" t="s">
        <v>51</v>
      </c>
      <c r="L17" s="48"/>
      <c r="M17" s="48"/>
      <c r="N17" s="48"/>
      <c r="O17" s="49" t="s">
        <v>277</v>
      </c>
      <c r="P17" s="48" t="s">
        <v>279</v>
      </c>
      <c r="Q17" s="48"/>
      <c r="R17" s="49" t="s">
        <v>278</v>
      </c>
      <c r="S17" s="48"/>
      <c r="T17" s="50"/>
      <c r="U17" s="50"/>
      <c r="V17" s="50"/>
      <c r="W17" s="51"/>
      <c r="X17" s="50"/>
      <c r="Z17" s="37" t="str" cm="1">
        <f t="array" ref="Z17">IFERROR(_xlfn._xlws.FILTER(C17,E17="Tractor"),"")</f>
        <v>Union Hydraulique de Hamady Ounaré</v>
      </c>
      <c r="AA17" s="1" t="str">
        <v>Union Hydraulique de Hamady Ounaré</v>
      </c>
      <c r="AB17" s="37" t="str" cm="1">
        <f t="array" ref="AB17">IFERROR(_xlfn._xlws.FILTER(C17,F17="Combine Harvester"),"")</f>
        <v/>
      </c>
      <c r="AE17" s="41" t="s">
        <v>100</v>
      </c>
      <c r="AF17" s="40" t="str">
        <f t="shared" si="0"/>
        <v>Private</v>
      </c>
      <c r="AG17" s="13"/>
      <c r="AH17" s="13"/>
    </row>
    <row r="18" spans="1:34" ht="22.5" customHeight="1">
      <c r="A18" s="52">
        <v>8</v>
      </c>
      <c r="B18" s="55" t="s">
        <v>3</v>
      </c>
      <c r="C18" s="56" t="s">
        <v>131</v>
      </c>
      <c r="D18" s="46" t="s">
        <v>236</v>
      </c>
      <c r="E18" s="46" t="s">
        <v>275</v>
      </c>
      <c r="F18" s="46"/>
      <c r="G18" s="57" t="s">
        <v>132</v>
      </c>
      <c r="H18" s="57" t="s">
        <v>298</v>
      </c>
      <c r="I18" s="58" t="s">
        <v>133</v>
      </c>
      <c r="J18" s="55" t="s">
        <v>134</v>
      </c>
      <c r="K18" s="48" t="s">
        <v>22</v>
      </c>
      <c r="L18" s="48"/>
      <c r="M18" s="48"/>
      <c r="N18" s="48">
        <v>125</v>
      </c>
      <c r="O18" s="49" t="s">
        <v>277</v>
      </c>
      <c r="P18" s="48">
        <v>2016</v>
      </c>
      <c r="Q18" s="48" t="s">
        <v>10</v>
      </c>
      <c r="R18" s="49" t="s">
        <v>277</v>
      </c>
      <c r="S18" s="48">
        <v>2016</v>
      </c>
      <c r="T18" s="48"/>
      <c r="U18" s="48"/>
      <c r="V18" s="48"/>
      <c r="W18" s="49"/>
      <c r="X18" s="48"/>
      <c r="Z18" s="37" t="str" cm="1">
        <f t="array" ref="Z18">IFERROR(_xlfn._xlws.FILTER(C18,E18="Tractor"),"")</f>
        <v>GIE Fadigada</v>
      </c>
      <c r="AA18" s="1" t="str">
        <v>GIE Fadigada</v>
      </c>
      <c r="AB18" s="37" t="str" cm="1">
        <f t="array" ref="AB18">IFERROR(_xlfn._xlws.FILTER(C18,F18="Combine Harvester"),"")</f>
        <v/>
      </c>
      <c r="AE18" s="41" t="s">
        <v>101</v>
      </c>
      <c r="AF18" s="40" t="str">
        <f t="shared" si="0"/>
        <v>Private</v>
      </c>
      <c r="AG18" s="13"/>
      <c r="AH18" s="13"/>
    </row>
    <row r="19" spans="1:34" ht="20.25" customHeight="1">
      <c r="A19" s="45">
        <v>9</v>
      </c>
      <c r="B19" s="55" t="s">
        <v>14</v>
      </c>
      <c r="C19" s="55" t="s">
        <v>35</v>
      </c>
      <c r="D19" s="56" t="s">
        <v>235</v>
      </c>
      <c r="E19" s="46" t="s">
        <v>275</v>
      </c>
      <c r="F19" s="46" t="s">
        <v>276</v>
      </c>
      <c r="G19" s="55" t="s">
        <v>36</v>
      </c>
      <c r="H19" s="13" t="s">
        <v>303</v>
      </c>
      <c r="I19" s="55" t="s">
        <v>37</v>
      </c>
      <c r="J19" s="55" t="s">
        <v>38</v>
      </c>
      <c r="K19" s="48" t="s">
        <v>22</v>
      </c>
      <c r="L19" s="48"/>
      <c r="M19" s="48"/>
      <c r="N19" s="48">
        <v>125</v>
      </c>
      <c r="O19" s="49" t="s">
        <v>281</v>
      </c>
      <c r="P19" s="48">
        <v>2008</v>
      </c>
      <c r="Q19" s="48" t="s">
        <v>10</v>
      </c>
      <c r="R19" s="49" t="s">
        <v>277</v>
      </c>
      <c r="S19" s="48">
        <v>2008</v>
      </c>
      <c r="T19" s="50"/>
      <c r="U19" s="50"/>
      <c r="V19" s="50" t="s">
        <v>53</v>
      </c>
      <c r="W19" s="49" t="s">
        <v>281</v>
      </c>
      <c r="X19" s="50">
        <v>2019</v>
      </c>
      <c r="Z19" s="37" t="str" cm="1">
        <f t="array" ref="Z19">IFERROR(_xlfn._xlws.FILTER(C19,E19="Tractor"),"")</f>
        <v>GIE Dagano</v>
      </c>
      <c r="AA19" s="1" t="str">
        <v>GIE Dagano</v>
      </c>
      <c r="AB19" s="37" t="str" cm="1">
        <f t="array" ref="AB19">IFERROR(_xlfn._xlws.FILTER(C19,F19="Combine Harvester"),"")</f>
        <v>GIE Dagano</v>
      </c>
      <c r="AE19" s="41" t="s">
        <v>103</v>
      </c>
      <c r="AF19" s="40" t="str">
        <f t="shared" si="0"/>
        <v>Private</v>
      </c>
      <c r="AG19" s="13"/>
      <c r="AH19" s="13"/>
    </row>
    <row r="20" spans="1:34" ht="19.5" customHeight="1">
      <c r="A20" s="52">
        <v>9</v>
      </c>
      <c r="B20" s="55" t="s">
        <v>3</v>
      </c>
      <c r="C20" s="56" t="s">
        <v>135</v>
      </c>
      <c r="D20" s="46" t="s">
        <v>236</v>
      </c>
      <c r="E20" s="46" t="s">
        <v>275</v>
      </c>
      <c r="F20" s="46"/>
      <c r="G20" s="57" t="s">
        <v>114</v>
      </c>
      <c r="H20" s="55" t="s">
        <v>300</v>
      </c>
      <c r="I20" s="58" t="s">
        <v>136</v>
      </c>
      <c r="J20" s="55" t="s">
        <v>137</v>
      </c>
      <c r="K20" s="48" t="s">
        <v>22</v>
      </c>
      <c r="L20" s="48"/>
      <c r="M20" s="48"/>
      <c r="N20" s="48">
        <v>125</v>
      </c>
      <c r="O20" s="49" t="s">
        <v>277</v>
      </c>
      <c r="P20" s="48">
        <v>2016</v>
      </c>
      <c r="Q20" s="48" t="s">
        <v>10</v>
      </c>
      <c r="R20" s="49" t="s">
        <v>277</v>
      </c>
      <c r="S20" s="48">
        <v>2016</v>
      </c>
      <c r="T20" s="48"/>
      <c r="U20" s="48"/>
      <c r="V20" s="48"/>
      <c r="W20" s="49"/>
      <c r="X20" s="48"/>
      <c r="Z20" s="37" t="str" cm="1">
        <f t="array" ref="Z20">IFERROR(_xlfn._xlws.FILTER(C20,E20="Tractor"),"")</f>
        <v>GIE Moyyere Thierno Yaya</v>
      </c>
      <c r="AA20" s="1" t="str">
        <v>GIE Moyyere Thierno Yaya</v>
      </c>
      <c r="AB20" s="37" t="str" cm="1">
        <f t="array" ref="AB20">IFERROR(_xlfn._xlws.FILTER(C20,F20="Combine Harvester"),"")</f>
        <v/>
      </c>
      <c r="AE20" s="41" t="s">
        <v>228</v>
      </c>
      <c r="AF20" s="40" t="str">
        <f t="shared" si="0"/>
        <v>Private</v>
      </c>
      <c r="AG20" s="13"/>
      <c r="AH20" s="13"/>
    </row>
    <row r="21" spans="1:34" ht="20.25" customHeight="1">
      <c r="A21" s="53">
        <v>10</v>
      </c>
      <c r="B21" s="55" t="s">
        <v>14</v>
      </c>
      <c r="C21" s="55" t="s">
        <v>35</v>
      </c>
      <c r="D21" s="59" t="s">
        <v>235</v>
      </c>
      <c r="E21" s="46" t="s">
        <v>275</v>
      </c>
      <c r="F21" s="46" t="s">
        <v>276</v>
      </c>
      <c r="G21" s="55" t="s">
        <v>36</v>
      </c>
      <c r="H21" s="13" t="s">
        <v>303</v>
      </c>
      <c r="I21" s="55" t="s">
        <v>37</v>
      </c>
      <c r="J21" s="55" t="s">
        <v>39</v>
      </c>
      <c r="K21" s="48" t="s">
        <v>22</v>
      </c>
      <c r="L21" s="48"/>
      <c r="M21" s="48"/>
      <c r="N21" s="48">
        <v>125</v>
      </c>
      <c r="O21" s="49" t="s">
        <v>281</v>
      </c>
      <c r="P21" s="48">
        <v>2009</v>
      </c>
      <c r="Q21" s="48" t="s">
        <v>10</v>
      </c>
      <c r="R21" s="49" t="s">
        <v>277</v>
      </c>
      <c r="S21" s="48">
        <v>2009</v>
      </c>
      <c r="T21" s="50"/>
      <c r="U21" s="50"/>
      <c r="V21" s="50" t="s">
        <v>53</v>
      </c>
      <c r="W21" s="49" t="s">
        <v>281</v>
      </c>
      <c r="X21" s="50">
        <v>2019</v>
      </c>
      <c r="Z21" s="37" t="str" cm="1">
        <f t="array" ref="Z21">IFERROR(_xlfn._xlws.FILTER(C21,E21="Tractor"),"")</f>
        <v>GIE Dagano</v>
      </c>
      <c r="AA21" s="1" t="str">
        <v xml:space="preserve">GIE Ndéma </v>
      </c>
      <c r="AB21" s="37" t="str" cm="1">
        <f t="array" ref="AB21">IFERROR(_xlfn._xlws.FILTER(C21,F21="Combine Harvester"),"")</f>
        <v>GIE Dagano</v>
      </c>
      <c r="AE21" s="41" t="s">
        <v>318</v>
      </c>
      <c r="AF21" s="40" t="str">
        <f t="shared" si="0"/>
        <v>Private</v>
      </c>
      <c r="AG21" s="13"/>
      <c r="AH21" s="13"/>
    </row>
    <row r="22" spans="1:34" ht="15.75" customHeight="1">
      <c r="A22" s="52">
        <v>10</v>
      </c>
      <c r="B22" s="55" t="s">
        <v>3</v>
      </c>
      <c r="C22" s="56" t="s">
        <v>138</v>
      </c>
      <c r="D22" s="55" t="s">
        <v>236</v>
      </c>
      <c r="E22" s="46" t="s">
        <v>275</v>
      </c>
      <c r="F22" s="46"/>
      <c r="G22" s="57" t="s">
        <v>114</v>
      </c>
      <c r="H22" s="55" t="s">
        <v>300</v>
      </c>
      <c r="I22" s="58" t="s">
        <v>139</v>
      </c>
      <c r="J22" s="55" t="s">
        <v>140</v>
      </c>
      <c r="K22" s="48" t="s">
        <v>22</v>
      </c>
      <c r="L22" s="48"/>
      <c r="M22" s="48"/>
      <c r="N22" s="48">
        <v>125</v>
      </c>
      <c r="O22" s="49" t="s">
        <v>277</v>
      </c>
      <c r="P22" s="48">
        <v>2016</v>
      </c>
      <c r="Q22" s="48" t="s">
        <v>10</v>
      </c>
      <c r="R22" s="49" t="s">
        <v>277</v>
      </c>
      <c r="S22" s="48">
        <v>2016</v>
      </c>
      <c r="T22" s="48"/>
      <c r="U22" s="48"/>
      <c r="V22" s="48"/>
      <c r="W22" s="49"/>
      <c r="X22" s="48"/>
      <c r="Z22" s="37" t="str" cm="1">
        <f t="array" ref="Z22">IFERROR(_xlfn._xlws.FILTER(C22,E22="Tractor"),"")</f>
        <v xml:space="preserve">GIE Ndéma </v>
      </c>
      <c r="AA22" s="1" t="str">
        <v>GIE Raky Ganna</v>
      </c>
      <c r="AB22" s="37" t="str" cm="1">
        <f t="array" ref="AB22">IFERROR(_xlfn._xlws.FILTER(C22,F22="Combine Harvester"),"")</f>
        <v/>
      </c>
      <c r="AE22" s="41" t="s">
        <v>319</v>
      </c>
      <c r="AF22" s="40" t="str">
        <f t="shared" si="0"/>
        <v>Private</v>
      </c>
      <c r="AG22" s="13"/>
      <c r="AH22" s="13"/>
    </row>
    <row r="23" spans="1:34" ht="21.75" customHeight="1">
      <c r="A23" s="45">
        <v>11</v>
      </c>
      <c r="B23" s="55" t="s">
        <v>14</v>
      </c>
      <c r="C23" s="55" t="s">
        <v>35</v>
      </c>
      <c r="D23" s="59" t="s">
        <v>235</v>
      </c>
      <c r="E23" s="46" t="s">
        <v>275</v>
      </c>
      <c r="F23" s="46" t="s">
        <v>276</v>
      </c>
      <c r="G23" s="55" t="s">
        <v>36</v>
      </c>
      <c r="H23" s="13" t="s">
        <v>303</v>
      </c>
      <c r="I23" s="55" t="s">
        <v>37</v>
      </c>
      <c r="J23" s="55" t="s">
        <v>40</v>
      </c>
      <c r="K23" s="48" t="s">
        <v>22</v>
      </c>
      <c r="L23" s="48"/>
      <c r="M23" s="48"/>
      <c r="N23" s="48">
        <v>125</v>
      </c>
      <c r="O23" s="49" t="s">
        <v>281</v>
      </c>
      <c r="P23" s="48">
        <v>2008</v>
      </c>
      <c r="Q23" s="48" t="s">
        <v>10</v>
      </c>
      <c r="R23" s="49" t="s">
        <v>277</v>
      </c>
      <c r="S23" s="48">
        <v>2008</v>
      </c>
      <c r="T23" s="50"/>
      <c r="U23" s="50"/>
      <c r="V23" s="50" t="s">
        <v>53</v>
      </c>
      <c r="W23" s="49" t="s">
        <v>281</v>
      </c>
      <c r="X23" s="50">
        <v>2019</v>
      </c>
      <c r="Z23" s="37" t="str" cm="1">
        <f t="array" ref="Z23">IFERROR(_xlfn._xlws.FILTER(C23,E23="Tractor"),"")</f>
        <v>GIE Dagano</v>
      </c>
      <c r="AA23" s="1" t="str">
        <v>GIE Sognane et Frères</v>
      </c>
      <c r="AB23" s="37" t="str" cm="1">
        <f t="array" ref="AB23">IFERROR(_xlfn._xlws.FILTER(C23,F23="Combine Harvester"),"")</f>
        <v>GIE Dagano</v>
      </c>
      <c r="AE23" s="41" t="s">
        <v>320</v>
      </c>
      <c r="AF23" s="40" t="str">
        <f t="shared" si="0"/>
        <v>Private</v>
      </c>
      <c r="AG23" s="13"/>
      <c r="AH23" s="13"/>
    </row>
    <row r="24" spans="1:34" ht="21" customHeight="1">
      <c r="A24" s="52">
        <v>11</v>
      </c>
      <c r="B24" s="55" t="s">
        <v>3</v>
      </c>
      <c r="C24" s="56" t="s">
        <v>141</v>
      </c>
      <c r="D24" s="46" t="s">
        <v>236</v>
      </c>
      <c r="E24" s="46" t="s">
        <v>275</v>
      </c>
      <c r="F24" s="46"/>
      <c r="G24" s="57" t="s">
        <v>306</v>
      </c>
      <c r="H24" s="57" t="s">
        <v>208</v>
      </c>
      <c r="I24" s="58" t="s">
        <v>142</v>
      </c>
      <c r="J24" s="55" t="s">
        <v>143</v>
      </c>
      <c r="K24" s="48" t="s">
        <v>29</v>
      </c>
      <c r="L24" s="48"/>
      <c r="M24" s="48"/>
      <c r="N24" s="48" t="s">
        <v>30</v>
      </c>
      <c r="O24" s="49" t="s">
        <v>277</v>
      </c>
      <c r="P24" s="48">
        <v>2015</v>
      </c>
      <c r="Q24" s="48" t="s">
        <v>10</v>
      </c>
      <c r="R24" s="49" t="s">
        <v>277</v>
      </c>
      <c r="S24" s="48">
        <v>2015</v>
      </c>
      <c r="T24" s="48"/>
      <c r="U24" s="48"/>
      <c r="V24" s="48"/>
      <c r="W24" s="49"/>
      <c r="X24" s="48"/>
      <c r="Z24" s="37" t="str" cm="1">
        <f t="array" ref="Z24">IFERROR(_xlfn._xlws.FILTER(C24,E24="Tractor"),"")</f>
        <v>GIE Raky Ganna</v>
      </c>
      <c r="AA24" s="1" t="str">
        <v>GIE Townde</v>
      </c>
      <c r="AB24" s="37" t="str" cm="1">
        <f t="array" ref="AB24">IFERROR(_xlfn._xlws.FILTER(C24,F24="Combine Harvester"),"")</f>
        <v/>
      </c>
      <c r="AE24" s="41" t="s">
        <v>321</v>
      </c>
      <c r="AF24" s="40" t="str">
        <f t="shared" si="0"/>
        <v>Private</v>
      </c>
      <c r="AG24" s="13"/>
      <c r="AH24" s="13"/>
    </row>
    <row r="25" spans="1:34" ht="21.75" customHeight="1">
      <c r="A25" s="53">
        <v>12</v>
      </c>
      <c r="B25" s="55" t="s">
        <v>14</v>
      </c>
      <c r="C25" s="55" t="s">
        <v>35</v>
      </c>
      <c r="D25" s="56" t="s">
        <v>235</v>
      </c>
      <c r="E25" s="46" t="s">
        <v>275</v>
      </c>
      <c r="F25" s="46" t="s">
        <v>276</v>
      </c>
      <c r="G25" s="55" t="s">
        <v>36</v>
      </c>
      <c r="H25" s="13" t="s">
        <v>303</v>
      </c>
      <c r="I25" s="55" t="s">
        <v>37</v>
      </c>
      <c r="J25" s="55" t="s">
        <v>41</v>
      </c>
      <c r="K25" s="48" t="s">
        <v>22</v>
      </c>
      <c r="L25" s="48"/>
      <c r="M25" s="48"/>
      <c r="N25" s="48">
        <v>125</v>
      </c>
      <c r="O25" s="49" t="s">
        <v>281</v>
      </c>
      <c r="P25" s="48">
        <v>2010</v>
      </c>
      <c r="Q25" s="48" t="s">
        <v>10</v>
      </c>
      <c r="R25" s="49" t="s">
        <v>277</v>
      </c>
      <c r="S25" s="48">
        <v>2010</v>
      </c>
      <c r="T25" s="50"/>
      <c r="U25" s="50"/>
      <c r="V25" s="50" t="s">
        <v>53</v>
      </c>
      <c r="W25" s="49" t="s">
        <v>281</v>
      </c>
      <c r="X25" s="50">
        <v>2019</v>
      </c>
      <c r="Z25" s="37" t="str" cm="1">
        <f t="array" ref="Z25">IFERROR(_xlfn._xlws.FILTER(C25,E25="Tractor"),"")</f>
        <v>GIE Dagano</v>
      </c>
      <c r="AA25" s="1" t="str">
        <v>GIE Yarnde</v>
      </c>
      <c r="AB25" s="37" t="str" cm="1">
        <f t="array" ref="AB25">IFERROR(_xlfn._xlws.FILTER(C25,F25="Combine Harvester"),"")</f>
        <v>GIE Dagano</v>
      </c>
      <c r="AE25" s="41" t="s">
        <v>58</v>
      </c>
      <c r="AF25" s="40" t="str">
        <f t="shared" si="0"/>
        <v>Private</v>
      </c>
      <c r="AG25" s="13"/>
      <c r="AH25" s="13"/>
    </row>
    <row r="26" spans="1:34">
      <c r="A26" s="52">
        <v>12</v>
      </c>
      <c r="B26" s="55" t="s">
        <v>3</v>
      </c>
      <c r="C26" s="56" t="s">
        <v>141</v>
      </c>
      <c r="D26" s="55" t="s">
        <v>236</v>
      </c>
      <c r="E26" s="46" t="s">
        <v>275</v>
      </c>
      <c r="F26" s="46"/>
      <c r="G26" s="57" t="s">
        <v>306</v>
      </c>
      <c r="H26" s="57" t="s">
        <v>208</v>
      </c>
      <c r="I26" s="58" t="s">
        <v>142</v>
      </c>
      <c r="J26" s="55" t="s">
        <v>144</v>
      </c>
      <c r="K26" s="48" t="s">
        <v>22</v>
      </c>
      <c r="L26" s="48"/>
      <c r="M26" s="48"/>
      <c r="N26" s="48">
        <v>125</v>
      </c>
      <c r="O26" s="49" t="s">
        <v>277</v>
      </c>
      <c r="P26" s="48">
        <v>2016</v>
      </c>
      <c r="Q26" s="48" t="s">
        <v>10</v>
      </c>
      <c r="R26" s="49" t="s">
        <v>277</v>
      </c>
      <c r="S26" s="48">
        <v>2016</v>
      </c>
      <c r="T26" s="48"/>
      <c r="U26" s="48"/>
      <c r="V26" s="48"/>
      <c r="W26" s="49"/>
      <c r="X26" s="48"/>
      <c r="Z26" s="37" t="str" cm="1">
        <f t="array" ref="Z26">IFERROR(_xlfn._xlws.FILTER(C26,E26="Tractor"),"")</f>
        <v>GIE Raky Ganna</v>
      </c>
      <c r="AA26" s="1" t="str">
        <v>Harouna DIOP</v>
      </c>
      <c r="AB26" s="37" t="str" cm="1">
        <f t="array" ref="AB26">IFERROR(_xlfn._xlws.FILTER(C26,F26="Combine Harvester"),"")</f>
        <v/>
      </c>
      <c r="AE26" s="41" t="s">
        <v>67</v>
      </c>
      <c r="AF26" s="40" t="str">
        <f t="shared" si="0"/>
        <v>Private</v>
      </c>
      <c r="AG26" s="13"/>
      <c r="AH26" s="13"/>
    </row>
    <row r="27" spans="1:34">
      <c r="A27" s="45">
        <v>13</v>
      </c>
      <c r="B27" s="55" t="s">
        <v>14</v>
      </c>
      <c r="C27" s="55" t="s">
        <v>35</v>
      </c>
      <c r="D27" s="56" t="s">
        <v>235</v>
      </c>
      <c r="E27" s="46" t="s">
        <v>275</v>
      </c>
      <c r="F27" s="46" t="s">
        <v>276</v>
      </c>
      <c r="G27" s="55" t="s">
        <v>36</v>
      </c>
      <c r="H27" s="13" t="s">
        <v>303</v>
      </c>
      <c r="I27" s="55" t="s">
        <v>37</v>
      </c>
      <c r="J27" s="55" t="s">
        <v>42</v>
      </c>
      <c r="K27" s="48" t="s">
        <v>22</v>
      </c>
      <c r="L27" s="48"/>
      <c r="M27" s="48"/>
      <c r="N27" s="48">
        <v>125</v>
      </c>
      <c r="O27" s="49" t="s">
        <v>281</v>
      </c>
      <c r="P27" s="48">
        <v>2008</v>
      </c>
      <c r="Q27" s="48" t="s">
        <v>10</v>
      </c>
      <c r="R27" s="49" t="s">
        <v>277</v>
      </c>
      <c r="S27" s="48">
        <v>2008</v>
      </c>
      <c r="T27" s="50"/>
      <c r="U27" s="50"/>
      <c r="V27" s="50" t="s">
        <v>53</v>
      </c>
      <c r="W27" s="49" t="s">
        <v>281</v>
      </c>
      <c r="X27" s="50">
        <v>2019</v>
      </c>
      <c r="Z27" s="37" t="str" cm="1">
        <f t="array" ref="Z27">IFERROR(_xlfn._xlws.FILTER(C27,E27="Tractor"),"")</f>
        <v>GIE Dagano</v>
      </c>
      <c r="AA27" s="1" t="str">
        <v>Mamadou BA</v>
      </c>
      <c r="AB27" s="37" t="str" cm="1">
        <f t="array" ref="AB27">IFERROR(_xlfn._xlws.FILTER(C27,F27="Combine Harvester"),"")</f>
        <v>GIE Dagano</v>
      </c>
      <c r="AE27" s="41" t="s">
        <v>84</v>
      </c>
      <c r="AF27" s="40" t="str">
        <f t="shared" si="0"/>
        <v>Private</v>
      </c>
      <c r="AG27" s="13"/>
      <c r="AH27" s="13"/>
    </row>
    <row r="28" spans="1:34">
      <c r="A28" s="52">
        <v>13</v>
      </c>
      <c r="B28" s="55" t="s">
        <v>3</v>
      </c>
      <c r="C28" s="56" t="s">
        <v>145</v>
      </c>
      <c r="D28" s="55" t="s">
        <v>236</v>
      </c>
      <c r="E28" s="46" t="s">
        <v>275</v>
      </c>
      <c r="F28" s="46"/>
      <c r="G28" s="57" t="s">
        <v>114</v>
      </c>
      <c r="H28" s="55" t="s">
        <v>300</v>
      </c>
      <c r="I28" s="58" t="s">
        <v>146</v>
      </c>
      <c r="J28" s="55" t="s">
        <v>147</v>
      </c>
      <c r="K28" s="48" t="s">
        <v>22</v>
      </c>
      <c r="L28" s="48"/>
      <c r="M28" s="48"/>
      <c r="N28" s="48">
        <v>125</v>
      </c>
      <c r="O28" s="49" t="s">
        <v>277</v>
      </c>
      <c r="P28" s="48">
        <v>2016</v>
      </c>
      <c r="Q28" s="48" t="s">
        <v>10</v>
      </c>
      <c r="R28" s="49" t="s">
        <v>277</v>
      </c>
      <c r="S28" s="48">
        <v>2016</v>
      </c>
      <c r="T28" s="48"/>
      <c r="U28" s="48"/>
      <c r="V28" s="48"/>
      <c r="W28" s="49"/>
      <c r="X28" s="48"/>
      <c r="Z28" s="37" t="str" cm="1">
        <f t="array" ref="Z28">IFERROR(_xlfn._xlws.FILTER(C28,E28="Tractor"),"")</f>
        <v>GIE Sognane et Frères</v>
      </c>
      <c r="AA28" s="1" t="str">
        <v>GIE Dembacané 2</v>
      </c>
      <c r="AB28" s="37" t="str" cm="1">
        <f t="array" ref="AB28">IFERROR(_xlfn._xlws.FILTER(C28,F28="Combine Harvester"),"")</f>
        <v/>
      </c>
      <c r="AE28" s="41" t="s">
        <v>322</v>
      </c>
      <c r="AF28" s="40" t="str">
        <f t="shared" si="0"/>
        <v>Union</v>
      </c>
      <c r="AG28" s="13"/>
      <c r="AH28" s="13"/>
    </row>
    <row r="29" spans="1:34">
      <c r="A29" s="53">
        <v>14</v>
      </c>
      <c r="B29" s="55" t="s">
        <v>14</v>
      </c>
      <c r="C29" s="55" t="s">
        <v>35</v>
      </c>
      <c r="D29" s="56" t="s">
        <v>235</v>
      </c>
      <c r="E29" s="46" t="s">
        <v>275</v>
      </c>
      <c r="F29" s="46" t="s">
        <v>276</v>
      </c>
      <c r="G29" s="55" t="s">
        <v>36</v>
      </c>
      <c r="H29" s="13" t="s">
        <v>303</v>
      </c>
      <c r="I29" s="55" t="s">
        <v>37</v>
      </c>
      <c r="J29" s="55" t="s">
        <v>43</v>
      </c>
      <c r="K29" s="48" t="s">
        <v>22</v>
      </c>
      <c r="L29" s="48"/>
      <c r="M29" s="48"/>
      <c r="N29" s="48">
        <v>125</v>
      </c>
      <c r="O29" s="49" t="s">
        <v>281</v>
      </c>
      <c r="P29" s="48">
        <v>2009</v>
      </c>
      <c r="Q29" s="48" t="s">
        <v>10</v>
      </c>
      <c r="R29" s="49" t="s">
        <v>277</v>
      </c>
      <c r="S29" s="48">
        <v>2009</v>
      </c>
      <c r="T29" s="50"/>
      <c r="U29" s="50"/>
      <c r="V29" s="50" t="s">
        <v>53</v>
      </c>
      <c r="W29" s="49" t="s">
        <v>281</v>
      </c>
      <c r="X29" s="50">
        <v>2019</v>
      </c>
      <c r="Z29" s="37" t="str" cm="1">
        <f t="array" ref="Z29">IFERROR(_xlfn._xlws.FILTER(C29,E29="Tractor"),"")</f>
        <v>GIE Dagano</v>
      </c>
      <c r="AA29" s="1" t="str">
        <v>Mamadou Lamine LY</v>
      </c>
      <c r="AB29" s="37" t="str" cm="1">
        <f t="array" ref="AB29">IFERROR(_xlfn._xlws.FILTER(C29,F29="Combine Harvester"),"")</f>
        <v>GIE Dagano</v>
      </c>
      <c r="AE29" s="41" t="s">
        <v>91</v>
      </c>
      <c r="AF29" s="40" t="str">
        <f t="shared" si="0"/>
        <v>Private</v>
      </c>
      <c r="AG29" s="13"/>
      <c r="AH29" s="13"/>
    </row>
    <row r="30" spans="1:34">
      <c r="A30" s="52">
        <v>14</v>
      </c>
      <c r="B30" s="55" t="s">
        <v>3</v>
      </c>
      <c r="C30" s="56" t="s">
        <v>148</v>
      </c>
      <c r="D30" s="55" t="s">
        <v>236</v>
      </c>
      <c r="E30" s="46" t="s">
        <v>275</v>
      </c>
      <c r="F30" s="46" t="s">
        <v>276</v>
      </c>
      <c r="G30" s="57" t="s">
        <v>114</v>
      </c>
      <c r="H30" s="55" t="s">
        <v>300</v>
      </c>
      <c r="I30" s="58" t="s">
        <v>149</v>
      </c>
      <c r="J30" s="55" t="s">
        <v>150</v>
      </c>
      <c r="K30" s="48" t="s">
        <v>22</v>
      </c>
      <c r="L30" s="48"/>
      <c r="M30" s="48"/>
      <c r="N30" s="48">
        <v>125</v>
      </c>
      <c r="O30" s="49" t="s">
        <v>277</v>
      </c>
      <c r="P30" s="48">
        <v>2016</v>
      </c>
      <c r="Q30" s="48" t="s">
        <v>10</v>
      </c>
      <c r="R30" s="49" t="s">
        <v>277</v>
      </c>
      <c r="S30" s="48">
        <v>2016</v>
      </c>
      <c r="T30" s="48"/>
      <c r="U30" s="48"/>
      <c r="V30" s="48" t="s">
        <v>53</v>
      </c>
      <c r="W30" s="49" t="s">
        <v>277</v>
      </c>
      <c r="X30" s="48">
        <v>2017</v>
      </c>
      <c r="Z30" s="37" t="str" cm="1">
        <f t="array" ref="Z30">IFERROR(_xlfn._xlws.FILTER(C30,E30="Tractor"),"")</f>
        <v>GIE Townde</v>
      </c>
      <c r="AA30" s="1" t="str">
        <v>GIE Ganguel</v>
      </c>
      <c r="AB30" s="37" t="str" cm="1">
        <f t="array" ref="AB30">IFERROR(_xlfn._xlws.FILTER(C30,F30="Combine Harvester"),"")</f>
        <v>GIE Townde</v>
      </c>
      <c r="AE30" s="41" t="s">
        <v>94</v>
      </c>
      <c r="AF30" s="40" t="str">
        <f t="shared" si="0"/>
        <v>Private</v>
      </c>
      <c r="AG30" s="13"/>
      <c r="AH30" s="13"/>
    </row>
    <row r="31" spans="1:34">
      <c r="A31" s="45">
        <v>15</v>
      </c>
      <c r="B31" s="55" t="s">
        <v>14</v>
      </c>
      <c r="C31" s="55" t="s">
        <v>35</v>
      </c>
      <c r="D31" s="56" t="s">
        <v>235</v>
      </c>
      <c r="E31" s="46" t="s">
        <v>275</v>
      </c>
      <c r="F31" s="46" t="s">
        <v>276</v>
      </c>
      <c r="G31" s="55" t="s">
        <v>36</v>
      </c>
      <c r="H31" s="13" t="s">
        <v>303</v>
      </c>
      <c r="I31" s="55" t="s">
        <v>37</v>
      </c>
      <c r="J31" s="55" t="s">
        <v>44</v>
      </c>
      <c r="K31" s="48" t="s">
        <v>22</v>
      </c>
      <c r="L31" s="48"/>
      <c r="M31" s="48"/>
      <c r="N31" s="48" t="s">
        <v>30</v>
      </c>
      <c r="O31" s="49" t="s">
        <v>277</v>
      </c>
      <c r="P31" s="48">
        <v>2010</v>
      </c>
      <c r="Q31" s="48" t="s">
        <v>10</v>
      </c>
      <c r="R31" s="49" t="s">
        <v>277</v>
      </c>
      <c r="S31" s="48">
        <v>2010</v>
      </c>
      <c r="T31" s="50"/>
      <c r="U31" s="50"/>
      <c r="V31" s="50" t="s">
        <v>53</v>
      </c>
      <c r="W31" s="49" t="s">
        <v>277</v>
      </c>
      <c r="X31" s="50">
        <v>2019</v>
      </c>
      <c r="Z31" s="37" t="str" cm="1">
        <f t="array" ref="Z31">IFERROR(_xlfn._xlws.FILTER(C31,E31="Tractor"),"")</f>
        <v>GIE Dagano</v>
      </c>
      <c r="AA31" s="1" t="str">
        <v>Union Bosséa 1</v>
      </c>
      <c r="AB31" s="37" t="str" cm="1">
        <f t="array" ref="AB31">IFERROR(_xlfn._xlws.FILTER(C31,F31="Combine Harvester"),"")</f>
        <v>GIE Dagano</v>
      </c>
      <c r="AE31" s="41" t="s">
        <v>214</v>
      </c>
      <c r="AF31" s="40" t="str">
        <f t="shared" si="0"/>
        <v>Private</v>
      </c>
      <c r="AG31" s="13"/>
      <c r="AH31" s="13"/>
    </row>
    <row r="32" spans="1:34" ht="29">
      <c r="A32" s="52">
        <v>15</v>
      </c>
      <c r="B32" s="55" t="s">
        <v>3</v>
      </c>
      <c r="C32" s="56" t="s">
        <v>148</v>
      </c>
      <c r="D32" s="55" t="s">
        <v>236</v>
      </c>
      <c r="E32" s="46" t="s">
        <v>275</v>
      </c>
      <c r="F32" s="46"/>
      <c r="G32" s="57" t="s">
        <v>114</v>
      </c>
      <c r="H32" s="55" t="s">
        <v>300</v>
      </c>
      <c r="I32" s="58" t="s">
        <v>149</v>
      </c>
      <c r="J32" s="55" t="s">
        <v>151</v>
      </c>
      <c r="K32" s="48" t="s">
        <v>9</v>
      </c>
      <c r="L32" s="48"/>
      <c r="M32" s="48"/>
      <c r="N32" s="48">
        <v>115</v>
      </c>
      <c r="O32" s="49" t="s">
        <v>277</v>
      </c>
      <c r="P32" s="48">
        <v>2017</v>
      </c>
      <c r="Q32" s="48" t="s">
        <v>10</v>
      </c>
      <c r="R32" s="49" t="s">
        <v>277</v>
      </c>
      <c r="S32" s="48">
        <v>2017</v>
      </c>
      <c r="T32" s="48"/>
      <c r="U32" s="48"/>
      <c r="V32" s="48"/>
      <c r="W32" s="49"/>
      <c r="X32" s="48"/>
      <c r="Z32" s="37" t="str" cm="1">
        <f t="array" ref="Z32">IFERROR(_xlfn._xlws.FILTER(C32,E32="Tractor"),"")</f>
        <v>GIE Townde</v>
      </c>
      <c r="AA32" s="1" t="str">
        <v>GIE Jokkéré Endam Wendou Bosséabé</v>
      </c>
      <c r="AB32" s="37" t="str" cm="1">
        <f t="array" ref="AB32">IFERROR(_xlfn._xlws.FILTER(C32,F32="Combine Harvester"),"")</f>
        <v/>
      </c>
      <c r="AE32" s="41" t="s">
        <v>323</v>
      </c>
      <c r="AF32" s="40" t="str">
        <f t="shared" si="0"/>
        <v>Private</v>
      </c>
      <c r="AG32" s="13"/>
      <c r="AH32" s="13"/>
    </row>
    <row r="33" spans="1:34">
      <c r="A33" s="53">
        <v>16</v>
      </c>
      <c r="B33" s="55" t="s">
        <v>14</v>
      </c>
      <c r="C33" s="55" t="s">
        <v>35</v>
      </c>
      <c r="D33" s="56" t="s">
        <v>235</v>
      </c>
      <c r="E33" s="46" t="s">
        <v>275</v>
      </c>
      <c r="F33" s="46" t="s">
        <v>276</v>
      </c>
      <c r="G33" s="55" t="s">
        <v>36</v>
      </c>
      <c r="H33" s="13" t="s">
        <v>303</v>
      </c>
      <c r="I33" s="55" t="s">
        <v>37</v>
      </c>
      <c r="J33" s="55" t="s">
        <v>45</v>
      </c>
      <c r="K33" s="48" t="s">
        <v>22</v>
      </c>
      <c r="L33" s="48"/>
      <c r="M33" s="48"/>
      <c r="N33" s="48" t="s">
        <v>30</v>
      </c>
      <c r="O33" s="49" t="s">
        <v>277</v>
      </c>
      <c r="P33" s="48">
        <v>2010</v>
      </c>
      <c r="Q33" s="48" t="s">
        <v>10</v>
      </c>
      <c r="R33" s="49" t="s">
        <v>277</v>
      </c>
      <c r="S33" s="48">
        <v>2010</v>
      </c>
      <c r="T33" s="50"/>
      <c r="U33" s="50"/>
      <c r="V33" s="50" t="s">
        <v>53</v>
      </c>
      <c r="W33" s="49" t="s">
        <v>277</v>
      </c>
      <c r="X33" s="50">
        <v>2019</v>
      </c>
      <c r="Z33" s="37" t="str" cm="1">
        <f t="array" ref="Z33">IFERROR(_xlfn._xlws.FILTER(C33,E33="Tractor"),"")</f>
        <v>GIE Dagano</v>
      </c>
      <c r="AA33" s="1" t="str">
        <v>Mouhamadou Malick SALL</v>
      </c>
      <c r="AB33" s="37" t="str" cm="1">
        <f t="array" ref="AB33">IFERROR(_xlfn._xlws.FILTER(C33,F33="Combine Harvester"),"")</f>
        <v>GIE Dagano</v>
      </c>
      <c r="AE33" s="41" t="s">
        <v>324</v>
      </c>
      <c r="AF33" s="40" t="str">
        <f t="shared" si="0"/>
        <v>Private</v>
      </c>
      <c r="AG33" s="13"/>
      <c r="AH33" s="13"/>
    </row>
    <row r="34" spans="1:34">
      <c r="A34" s="52">
        <v>16</v>
      </c>
      <c r="B34" s="55" t="s">
        <v>3</v>
      </c>
      <c r="C34" s="56" t="s">
        <v>153</v>
      </c>
      <c r="D34" s="46" t="s">
        <v>236</v>
      </c>
      <c r="E34" s="46" t="s">
        <v>275</v>
      </c>
      <c r="F34" s="46"/>
      <c r="G34" s="57" t="s">
        <v>154</v>
      </c>
      <c r="H34" s="57" t="s">
        <v>297</v>
      </c>
      <c r="I34" s="58" t="s">
        <v>155</v>
      </c>
      <c r="J34" s="55" t="s">
        <v>156</v>
      </c>
      <c r="K34" s="48" t="s">
        <v>22</v>
      </c>
      <c r="L34" s="48"/>
      <c r="M34" s="48"/>
      <c r="N34" s="48">
        <v>125</v>
      </c>
      <c r="O34" s="49" t="s">
        <v>277</v>
      </c>
      <c r="P34" s="48">
        <v>2016</v>
      </c>
      <c r="Q34" s="48" t="s">
        <v>10</v>
      </c>
      <c r="R34" s="49" t="s">
        <v>277</v>
      </c>
      <c r="S34" s="48">
        <v>2016</v>
      </c>
      <c r="T34" s="48"/>
      <c r="U34" s="48"/>
      <c r="V34" s="48"/>
      <c r="W34" s="49"/>
      <c r="X34" s="48"/>
      <c r="Z34" s="37" t="str" cm="1">
        <f t="array" ref="Z34">IFERROR(_xlfn._xlws.FILTER(C34,E34="Tractor"),"")</f>
        <v>GIE Yarnde</v>
      </c>
      <c r="AA34" s="1" t="str">
        <v>GIE Ngano</v>
      </c>
      <c r="AB34" s="37" t="str" cm="1">
        <f t="array" ref="AB34">IFERROR(_xlfn._xlws.FILTER(C34,F34="Combine Harvester"),"")</f>
        <v/>
      </c>
      <c r="AE34" s="41" t="s">
        <v>215</v>
      </c>
      <c r="AF34" s="40" t="str">
        <f t="shared" si="0"/>
        <v>Private</v>
      </c>
      <c r="AG34" s="13"/>
      <c r="AH34" s="13"/>
    </row>
    <row r="35" spans="1:34">
      <c r="A35" s="45">
        <v>17</v>
      </c>
      <c r="B35" s="55" t="s">
        <v>14</v>
      </c>
      <c r="C35" s="55" t="s">
        <v>35</v>
      </c>
      <c r="D35" s="56" t="s">
        <v>235</v>
      </c>
      <c r="E35" s="46" t="s">
        <v>275</v>
      </c>
      <c r="F35" s="46" t="s">
        <v>276</v>
      </c>
      <c r="G35" s="55" t="s">
        <v>36</v>
      </c>
      <c r="H35" s="13" t="s">
        <v>303</v>
      </c>
      <c r="I35" s="55" t="s">
        <v>37</v>
      </c>
      <c r="J35" s="55" t="s">
        <v>46</v>
      </c>
      <c r="K35" s="48" t="s">
        <v>22</v>
      </c>
      <c r="L35" s="48"/>
      <c r="M35" s="48"/>
      <c r="N35" s="48">
        <v>125</v>
      </c>
      <c r="O35" s="49" t="s">
        <v>277</v>
      </c>
      <c r="P35" s="48">
        <v>2010</v>
      </c>
      <c r="Q35" s="48" t="s">
        <v>10</v>
      </c>
      <c r="R35" s="49" t="s">
        <v>277</v>
      </c>
      <c r="S35" s="48">
        <v>2010</v>
      </c>
      <c r="T35" s="50"/>
      <c r="U35" s="50"/>
      <c r="V35" s="50" t="s">
        <v>53</v>
      </c>
      <c r="W35" s="49" t="s">
        <v>281</v>
      </c>
      <c r="X35" s="50">
        <v>2019</v>
      </c>
      <c r="Z35" s="37" t="str" cm="1">
        <f t="array" ref="Z35">IFERROR(_xlfn._xlws.FILTER(C35,E35="Tractor"),"")</f>
        <v>GIE Dagano</v>
      </c>
      <c r="AA35" s="1" t="str">
        <v>Thierno Aliou Thiam</v>
      </c>
      <c r="AB35" s="37" t="str" cm="1">
        <f t="array" ref="AB35">IFERROR(_xlfn._xlws.FILTER(C35,F35="Combine Harvester"),"")</f>
        <v>GIE Dagano</v>
      </c>
      <c r="AE35" s="41" t="s">
        <v>221</v>
      </c>
      <c r="AF35" s="40" t="str">
        <f t="shared" si="0"/>
        <v>Private</v>
      </c>
      <c r="AG35" s="13"/>
      <c r="AH35" s="13"/>
    </row>
    <row r="36" spans="1:34">
      <c r="A36" s="52">
        <v>17</v>
      </c>
      <c r="B36" s="55" t="s">
        <v>23</v>
      </c>
      <c r="C36" s="58" t="s">
        <v>157</v>
      </c>
      <c r="D36" s="46" t="s">
        <v>32</v>
      </c>
      <c r="E36" s="46" t="s">
        <v>275</v>
      </c>
      <c r="F36" s="46"/>
      <c r="G36" s="55" t="s">
        <v>114</v>
      </c>
      <c r="H36" s="55" t="s">
        <v>300</v>
      </c>
      <c r="I36" s="58" t="s">
        <v>157</v>
      </c>
      <c r="J36" s="55">
        <v>775566197</v>
      </c>
      <c r="K36" s="48" t="s">
        <v>9</v>
      </c>
      <c r="L36" s="48"/>
      <c r="M36" s="48"/>
      <c r="N36" s="48">
        <v>100</v>
      </c>
      <c r="O36" s="49" t="s">
        <v>277</v>
      </c>
      <c r="P36" s="48">
        <v>2019</v>
      </c>
      <c r="Q36" s="48" t="s">
        <v>10</v>
      </c>
      <c r="R36" s="49" t="s">
        <v>277</v>
      </c>
      <c r="S36" s="48">
        <v>2019</v>
      </c>
      <c r="T36" s="48"/>
      <c r="U36" s="48"/>
      <c r="V36" s="48"/>
      <c r="W36" s="49"/>
      <c r="X36" s="48"/>
      <c r="Z36" s="37" t="str" cm="1">
        <f t="array" ref="Z36">IFERROR(_xlfn._xlws.FILTER(C36,E36="Tractor"),"")</f>
        <v>Harouna DIOP</v>
      </c>
      <c r="AA36" s="1" t="str">
        <v>GIE Nourou Cheikh Moussa Camara</v>
      </c>
      <c r="AB36" s="37" t="str" cm="1">
        <f t="array" ref="AB36">IFERROR(_xlfn._xlws.FILTER(C36,F36="Combine Harvester"),"")</f>
        <v/>
      </c>
      <c r="AE36" s="41" t="s">
        <v>73</v>
      </c>
      <c r="AF36" s="40" t="str">
        <f t="shared" si="0"/>
        <v>Private</v>
      </c>
      <c r="AG36" s="13"/>
      <c r="AH36" s="13"/>
    </row>
    <row r="37" spans="1:34">
      <c r="A37" s="53">
        <v>18</v>
      </c>
      <c r="B37" s="55" t="s">
        <v>14</v>
      </c>
      <c r="C37" s="55" t="s">
        <v>35</v>
      </c>
      <c r="D37" s="59" t="s">
        <v>235</v>
      </c>
      <c r="E37" s="46" t="s">
        <v>275</v>
      </c>
      <c r="F37" s="46" t="s">
        <v>276</v>
      </c>
      <c r="G37" s="55" t="s">
        <v>36</v>
      </c>
      <c r="H37" s="13" t="s">
        <v>303</v>
      </c>
      <c r="I37" s="55" t="s">
        <v>37</v>
      </c>
      <c r="J37" s="55" t="s">
        <v>47</v>
      </c>
      <c r="K37" s="48" t="s">
        <v>22</v>
      </c>
      <c r="L37" s="48"/>
      <c r="M37" s="48"/>
      <c r="N37" s="48">
        <v>125</v>
      </c>
      <c r="O37" s="49" t="s">
        <v>277</v>
      </c>
      <c r="P37" s="48">
        <v>2010</v>
      </c>
      <c r="Q37" s="48" t="s">
        <v>10</v>
      </c>
      <c r="R37" s="49" t="s">
        <v>277</v>
      </c>
      <c r="S37" s="48">
        <v>2010</v>
      </c>
      <c r="T37" s="50"/>
      <c r="U37" s="50"/>
      <c r="V37" s="50" t="s">
        <v>53</v>
      </c>
      <c r="W37" s="49" t="s">
        <v>281</v>
      </c>
      <c r="X37" s="50">
        <v>2019</v>
      </c>
      <c r="Z37" s="37" t="str" cm="1">
        <f t="array" ref="Z37">IFERROR(_xlfn._xlws.FILTER(C37,E37="Tractor"),"")</f>
        <v>GIE Dagano</v>
      </c>
      <c r="AA37" s="1" t="str">
        <v>Union  Hydraulique  de  Matam</v>
      </c>
      <c r="AB37" s="37" t="str" cm="1">
        <f t="array" ref="AB37">IFERROR(_xlfn._xlws.FILTER(C37,F37="Combine Harvester"),"")</f>
        <v>GIE Dagano</v>
      </c>
      <c r="AE37" s="41" t="s">
        <v>13</v>
      </c>
      <c r="AF37" s="40" t="str">
        <f t="shared" si="0"/>
        <v>Private</v>
      </c>
      <c r="AG37" s="13"/>
      <c r="AH37" s="13"/>
    </row>
    <row r="38" spans="1:34">
      <c r="A38" s="52">
        <v>18</v>
      </c>
      <c r="B38" s="55" t="s">
        <v>23</v>
      </c>
      <c r="C38" s="58" t="s">
        <v>158</v>
      </c>
      <c r="D38" s="46" t="s">
        <v>236</v>
      </c>
      <c r="E38" s="46" t="s">
        <v>275</v>
      </c>
      <c r="F38" s="46"/>
      <c r="G38" s="55" t="s">
        <v>159</v>
      </c>
      <c r="H38" s="55" t="s">
        <v>208</v>
      </c>
      <c r="I38" s="58" t="s">
        <v>158</v>
      </c>
      <c r="J38" s="55">
        <v>776545626</v>
      </c>
      <c r="K38" s="48" t="s">
        <v>9</v>
      </c>
      <c r="L38" s="48"/>
      <c r="M38" s="48"/>
      <c r="N38" s="48">
        <v>100</v>
      </c>
      <c r="O38" s="49" t="s">
        <v>277</v>
      </c>
      <c r="P38" s="48">
        <v>2019</v>
      </c>
      <c r="Q38" s="48" t="s">
        <v>10</v>
      </c>
      <c r="R38" s="49" t="s">
        <v>277</v>
      </c>
      <c r="S38" s="48">
        <v>2019</v>
      </c>
      <c r="T38" s="48"/>
      <c r="U38" s="48"/>
      <c r="V38" s="48"/>
      <c r="W38" s="49"/>
      <c r="X38" s="48"/>
      <c r="Z38" s="37" t="str" cm="1">
        <f t="array" ref="Z38">IFERROR(_xlfn._xlws.FILTER(C38,E38="Tractor"),"")</f>
        <v>Mamadou BA</v>
      </c>
      <c r="AA38" s="1" t="str">
        <v>GIE PiP Balel</v>
      </c>
      <c r="AB38" s="37" t="str" cm="1">
        <f t="array" ref="AB38">IFERROR(_xlfn._xlws.FILTER(C38,F38="Combine Harvester"),"")</f>
        <v/>
      </c>
      <c r="AE38" s="41" t="s">
        <v>72</v>
      </c>
      <c r="AF38" s="40" t="str">
        <f t="shared" si="0"/>
        <v>Private</v>
      </c>
      <c r="AG38" s="13"/>
      <c r="AH38" s="13"/>
    </row>
    <row r="39" spans="1:34">
      <c r="A39" s="45">
        <v>19</v>
      </c>
      <c r="B39" s="55" t="s">
        <v>14</v>
      </c>
      <c r="C39" s="56" t="s">
        <v>48</v>
      </c>
      <c r="D39" s="59" t="s">
        <v>235</v>
      </c>
      <c r="E39" s="46" t="s">
        <v>275</v>
      </c>
      <c r="F39" s="46"/>
      <c r="G39" s="57" t="s">
        <v>49</v>
      </c>
      <c r="H39" s="13" t="s">
        <v>303</v>
      </c>
      <c r="I39" s="58" t="s">
        <v>50</v>
      </c>
      <c r="J39" s="58">
        <v>772769932</v>
      </c>
      <c r="K39" s="48" t="s">
        <v>29</v>
      </c>
      <c r="L39" s="48"/>
      <c r="M39" s="48"/>
      <c r="N39" s="48" t="s">
        <v>30</v>
      </c>
      <c r="O39" s="49" t="s">
        <v>277</v>
      </c>
      <c r="P39" s="48">
        <v>2015</v>
      </c>
      <c r="Q39" s="48" t="s">
        <v>10</v>
      </c>
      <c r="R39" s="49" t="s">
        <v>277</v>
      </c>
      <c r="S39" s="48">
        <v>2015</v>
      </c>
      <c r="T39" s="50"/>
      <c r="U39" s="50"/>
      <c r="V39" s="50"/>
      <c r="W39" s="51"/>
      <c r="X39" s="51"/>
      <c r="Z39" s="37" t="str" cm="1">
        <f t="array" ref="Z39">IFERROR(_xlfn._xlws.FILTER(C39,E39="Tractor"),"")</f>
        <v>GIE Dembacané 2</v>
      </c>
      <c r="AA39" s="1" t="str">
        <v xml:space="preserve">GIE Waoundé 1 </v>
      </c>
      <c r="AB39" s="37" t="str" cm="1">
        <f t="array" ref="AB39">IFERROR(_xlfn._xlws.FILTER(C39,F39="Combine Harvester"),"")</f>
        <v/>
      </c>
      <c r="AE39" s="41" t="s">
        <v>74</v>
      </c>
      <c r="AF39" s="40" t="str">
        <f t="shared" si="0"/>
        <v>Private</v>
      </c>
      <c r="AG39" s="13"/>
      <c r="AH39" s="13"/>
    </row>
    <row r="40" spans="1:34">
      <c r="A40" s="52">
        <v>19</v>
      </c>
      <c r="B40" s="55" t="s">
        <v>23</v>
      </c>
      <c r="C40" s="58" t="s">
        <v>160</v>
      </c>
      <c r="D40" s="46" t="s">
        <v>236</v>
      </c>
      <c r="E40" s="46" t="s">
        <v>275</v>
      </c>
      <c r="F40" s="46"/>
      <c r="G40" s="57" t="s">
        <v>154</v>
      </c>
      <c r="H40" s="57" t="s">
        <v>297</v>
      </c>
      <c r="I40" s="58" t="s">
        <v>160</v>
      </c>
      <c r="J40" s="55">
        <v>776086580</v>
      </c>
      <c r="K40" s="49" t="s">
        <v>9</v>
      </c>
      <c r="L40" s="49"/>
      <c r="M40" s="49"/>
      <c r="N40" s="49">
        <v>100</v>
      </c>
      <c r="O40" s="49" t="s">
        <v>277</v>
      </c>
      <c r="P40" s="49">
        <v>2019</v>
      </c>
      <c r="Q40" s="49" t="s">
        <v>10</v>
      </c>
      <c r="R40" s="49" t="s">
        <v>277</v>
      </c>
      <c r="S40" s="49">
        <v>2019</v>
      </c>
      <c r="T40" s="48"/>
      <c r="U40" s="48"/>
      <c r="V40" s="48"/>
      <c r="W40" s="49"/>
      <c r="X40" s="49"/>
      <c r="Z40" s="37" t="str" cm="1">
        <f t="array" ref="Z40">IFERROR(_xlfn._xlws.FILTER(C40,E40="Tractor"),"")</f>
        <v>Mamadou Lamine LY</v>
      </c>
      <c r="AA40" s="1" t="str">
        <v>Union de Sadel</v>
      </c>
      <c r="AB40" s="37" t="str" cm="1">
        <f t="array" ref="AB40">IFERROR(_xlfn._xlws.FILTER(C40,F40="Combine Harvester"),"")</f>
        <v/>
      </c>
      <c r="AE40" s="41" t="s">
        <v>11</v>
      </c>
      <c r="AF40" s="40" t="str">
        <f t="shared" si="0"/>
        <v>Private</v>
      </c>
      <c r="AG40" s="13"/>
      <c r="AH40" s="13"/>
    </row>
    <row r="41" spans="1:34">
      <c r="A41" s="53">
        <v>20</v>
      </c>
      <c r="B41" s="55" t="s">
        <v>14</v>
      </c>
      <c r="C41" s="56" t="s">
        <v>54</v>
      </c>
      <c r="D41" s="59" t="s">
        <v>235</v>
      </c>
      <c r="E41" s="46" t="s">
        <v>275</v>
      </c>
      <c r="F41" s="46"/>
      <c r="G41" s="57" t="s">
        <v>55</v>
      </c>
      <c r="H41" s="13" t="s">
        <v>303</v>
      </c>
      <c r="I41" s="58" t="s">
        <v>56</v>
      </c>
      <c r="J41" s="55" t="s">
        <v>57</v>
      </c>
      <c r="K41" s="49" t="s">
        <v>29</v>
      </c>
      <c r="L41" s="49"/>
      <c r="M41" s="49"/>
      <c r="N41" s="49" t="s">
        <v>30</v>
      </c>
      <c r="O41" s="49" t="s">
        <v>277</v>
      </c>
      <c r="P41" s="49">
        <v>2015</v>
      </c>
      <c r="Q41" s="49" t="s">
        <v>10</v>
      </c>
      <c r="R41" s="49" t="s">
        <v>277</v>
      </c>
      <c r="S41" s="49">
        <v>2015</v>
      </c>
      <c r="T41" s="50"/>
      <c r="U41" s="50"/>
      <c r="V41" s="50"/>
      <c r="W41" s="51"/>
      <c r="X41" s="51"/>
      <c r="Z41" s="37" t="str" cm="1">
        <f t="array" ref="Z41">IFERROR(_xlfn._xlws.FILTER(C41,E41="Tractor"),"")</f>
        <v>GIE Ganguel</v>
      </c>
      <c r="AA41" s="1" t="str">
        <v>Kadiatou BASSOUM</v>
      </c>
      <c r="AB41" s="37" t="str" cm="1">
        <f t="array" ref="AB41">IFERROR(_xlfn._xlws.FILTER(C41,F41="Combine Harvester"),"")</f>
        <v/>
      </c>
      <c r="AE41" s="41" t="s">
        <v>4</v>
      </c>
      <c r="AF41" s="40" t="str">
        <f t="shared" si="0"/>
        <v>Private</v>
      </c>
      <c r="AG41" s="13"/>
      <c r="AH41" s="13"/>
    </row>
    <row r="42" spans="1:34">
      <c r="A42" s="52">
        <v>20</v>
      </c>
      <c r="B42" s="55" t="s">
        <v>23</v>
      </c>
      <c r="C42" s="58" t="s">
        <v>161</v>
      </c>
      <c r="D42" s="46" t="s">
        <v>32</v>
      </c>
      <c r="E42" s="46" t="s">
        <v>275</v>
      </c>
      <c r="F42" s="46"/>
      <c r="G42" s="57" t="s">
        <v>154</v>
      </c>
      <c r="H42" s="57" t="s">
        <v>297</v>
      </c>
      <c r="I42" s="58" t="s">
        <v>199</v>
      </c>
      <c r="J42" s="55">
        <v>775654222</v>
      </c>
      <c r="K42" s="49" t="s">
        <v>9</v>
      </c>
      <c r="L42" s="49"/>
      <c r="M42" s="49"/>
      <c r="N42" s="49">
        <v>100</v>
      </c>
      <c r="O42" s="49" t="s">
        <v>277</v>
      </c>
      <c r="P42" s="49">
        <v>2019</v>
      </c>
      <c r="Q42" s="49" t="s">
        <v>10</v>
      </c>
      <c r="R42" s="49" t="s">
        <v>277</v>
      </c>
      <c r="S42" s="49">
        <v>2019</v>
      </c>
      <c r="T42" s="48"/>
      <c r="U42" s="48"/>
      <c r="V42" s="48"/>
      <c r="W42" s="49"/>
      <c r="X42" s="49"/>
      <c r="Z42" s="37" t="str" cm="1">
        <f t="array" ref="Z42">IFERROR(_xlfn._xlws.FILTER(C42,E42="Tractor"),"")</f>
        <v>Union Bosséa 1</v>
      </c>
      <c r="AA42" s="1" t="str">
        <v>Kisma Delba SOW</v>
      </c>
      <c r="AB42" s="37" t="str" cm="1">
        <f t="array" ref="AB42">IFERROR(_xlfn._xlws.FILTER(C42,F42="Combine Harvester"),"")</f>
        <v/>
      </c>
      <c r="AE42" s="41" t="s">
        <v>325</v>
      </c>
      <c r="AF42" s="40" t="str">
        <f t="shared" si="0"/>
        <v>Private</v>
      </c>
      <c r="AG42" s="13"/>
      <c r="AH42" s="13"/>
    </row>
    <row r="43" spans="1:34">
      <c r="A43" s="45">
        <v>21</v>
      </c>
      <c r="B43" s="46" t="s">
        <v>14</v>
      </c>
      <c r="C43" s="59" t="s">
        <v>58</v>
      </c>
      <c r="D43" s="59" t="s">
        <v>235</v>
      </c>
      <c r="E43" s="46" t="s">
        <v>275</v>
      </c>
      <c r="F43" s="46"/>
      <c r="G43" s="62" t="s">
        <v>55</v>
      </c>
      <c r="H43" s="13" t="s">
        <v>303</v>
      </c>
      <c r="I43" s="47" t="s">
        <v>59</v>
      </c>
      <c r="J43" s="46" t="s">
        <v>60</v>
      </c>
      <c r="K43" s="48" t="s">
        <v>22</v>
      </c>
      <c r="L43" s="48"/>
      <c r="M43" s="48"/>
      <c r="N43" s="48">
        <v>125</v>
      </c>
      <c r="O43" s="49" t="s">
        <v>277</v>
      </c>
      <c r="P43" s="48">
        <v>2016</v>
      </c>
      <c r="Q43" s="48" t="s">
        <v>10</v>
      </c>
      <c r="R43" s="49" t="s">
        <v>277</v>
      </c>
      <c r="S43" s="48">
        <v>2016</v>
      </c>
      <c r="T43" s="50"/>
      <c r="U43" s="50"/>
      <c r="V43" s="50"/>
      <c r="W43" s="51"/>
      <c r="X43" s="50"/>
      <c r="Z43" s="37" t="str" cm="1">
        <f t="array" ref="Z43">IFERROR(_xlfn._xlws.FILTER(C43,E43="Tractor"),"")</f>
        <v>GIE Jokkéré Endam Wendou Bosséabé</v>
      </c>
      <c r="AA43" s="1" t="str">
        <v>Union des GIE de DIAL</v>
      </c>
      <c r="AB43" s="37" t="str" cm="1">
        <f t="array" ref="AB43">IFERROR(_xlfn._xlws.FILTER(C43,F43="Combine Harvester"),"")</f>
        <v/>
      </c>
      <c r="AE43" s="41" t="s">
        <v>123</v>
      </c>
      <c r="AF43" s="40" t="str">
        <f t="shared" si="0"/>
        <v>Private</v>
      </c>
      <c r="AG43" s="13"/>
      <c r="AH43" s="13"/>
    </row>
    <row r="44" spans="1:34">
      <c r="A44" s="52">
        <v>21</v>
      </c>
      <c r="B44" s="46" t="s">
        <v>23</v>
      </c>
      <c r="C44" s="47" t="s">
        <v>162</v>
      </c>
      <c r="D44" s="46" t="s">
        <v>236</v>
      </c>
      <c r="E44" s="46" t="s">
        <v>275</v>
      </c>
      <c r="F44" s="46"/>
      <c r="G44" s="46" t="s">
        <v>163</v>
      </c>
      <c r="H44" s="55" t="s">
        <v>208</v>
      </c>
      <c r="I44" s="47" t="s">
        <v>162</v>
      </c>
      <c r="J44" s="46">
        <v>775285770</v>
      </c>
      <c r="K44" s="48" t="s">
        <v>9</v>
      </c>
      <c r="L44" s="48"/>
      <c r="M44" s="48"/>
      <c r="N44" s="48">
        <v>100</v>
      </c>
      <c r="O44" s="49" t="s">
        <v>277</v>
      </c>
      <c r="P44" s="48">
        <v>2019</v>
      </c>
      <c r="Q44" s="48" t="s">
        <v>10</v>
      </c>
      <c r="R44" s="49" t="s">
        <v>277</v>
      </c>
      <c r="S44" s="48">
        <v>2019</v>
      </c>
      <c r="T44" s="48"/>
      <c r="U44" s="48"/>
      <c r="V44" s="48"/>
      <c r="W44" s="49"/>
      <c r="X44" s="48"/>
      <c r="Z44" s="37" t="str" cm="1">
        <f t="array" ref="Z44">IFERROR(_xlfn._xlws.FILTER(C44,E44="Tractor"),"")</f>
        <v>Mouhamadou Malick SALL</v>
      </c>
      <c r="AA44" s="1" t="str">
        <v>Mamadou Abdoulaye MEYTY</v>
      </c>
      <c r="AB44" s="37" t="str" cm="1">
        <f t="array" ref="AB44">IFERROR(_xlfn._xlws.FILTER(C44,F44="Combine Harvester"),"")</f>
        <v/>
      </c>
      <c r="AE44" s="41" t="s">
        <v>160</v>
      </c>
      <c r="AF44" s="40" t="str">
        <f t="shared" si="0"/>
        <v>Private</v>
      </c>
      <c r="AG44" s="13"/>
      <c r="AH44" s="13"/>
    </row>
    <row r="45" spans="1:34">
      <c r="A45" s="53">
        <v>22</v>
      </c>
      <c r="B45" s="46" t="s">
        <v>14</v>
      </c>
      <c r="C45" s="59" t="s">
        <v>61</v>
      </c>
      <c r="D45" s="59" t="s">
        <v>235</v>
      </c>
      <c r="E45" s="46" t="s">
        <v>275</v>
      </c>
      <c r="F45" s="46"/>
      <c r="G45" s="62" t="s">
        <v>21</v>
      </c>
      <c r="H45" s="60" t="s">
        <v>302</v>
      </c>
      <c r="I45" s="47" t="s">
        <v>62</v>
      </c>
      <c r="J45" s="46" t="s">
        <v>63</v>
      </c>
      <c r="K45" s="48" t="s">
        <v>22</v>
      </c>
      <c r="L45" s="48"/>
      <c r="M45" s="48"/>
      <c r="N45" s="48">
        <v>125</v>
      </c>
      <c r="O45" s="49" t="s">
        <v>281</v>
      </c>
      <c r="P45" s="48">
        <v>2016</v>
      </c>
      <c r="Q45" s="48" t="s">
        <v>10</v>
      </c>
      <c r="R45" s="49" t="s">
        <v>277</v>
      </c>
      <c r="S45" s="48">
        <v>2016</v>
      </c>
      <c r="T45" s="50"/>
      <c r="U45" s="50"/>
      <c r="V45" s="50"/>
      <c r="W45" s="51"/>
      <c r="X45" s="50"/>
      <c r="Z45" s="37" t="str" cm="1">
        <f t="array" ref="Z45">IFERROR(_xlfn._xlws.FILTER(C45,E45="Tractor"),"")</f>
        <v>GIE Ngano</v>
      </c>
      <c r="AA45" s="1" t="str">
        <v>Union des GIE de Dondou</v>
      </c>
      <c r="AB45" s="37" t="str" cm="1">
        <f t="array" ref="AB45">IFERROR(_xlfn._xlws.FILTER(C45,F45="Combine Harvester"),"")</f>
        <v/>
      </c>
      <c r="AE45" s="41" t="s">
        <v>161</v>
      </c>
      <c r="AF45" s="40" t="str">
        <f t="shared" si="0"/>
        <v>Union</v>
      </c>
      <c r="AG45" s="13"/>
      <c r="AH45" s="13"/>
    </row>
    <row r="46" spans="1:34" ht="29">
      <c r="A46" s="52">
        <v>22</v>
      </c>
      <c r="B46" s="46" t="s">
        <v>3</v>
      </c>
      <c r="C46" s="59" t="s">
        <v>164</v>
      </c>
      <c r="D46" s="46" t="s">
        <v>236</v>
      </c>
      <c r="E46" s="46" t="s">
        <v>275</v>
      </c>
      <c r="F46" s="46"/>
      <c r="G46" s="62" t="s">
        <v>165</v>
      </c>
      <c r="H46" s="57" t="s">
        <v>208</v>
      </c>
      <c r="I46" s="47" t="s">
        <v>166</v>
      </c>
      <c r="J46" s="46" t="s">
        <v>167</v>
      </c>
      <c r="K46" s="48" t="s">
        <v>22</v>
      </c>
      <c r="L46" s="48"/>
      <c r="M46" s="48"/>
      <c r="N46" s="48">
        <v>125</v>
      </c>
      <c r="O46" s="49" t="s">
        <v>277</v>
      </c>
      <c r="P46" s="48">
        <v>2016</v>
      </c>
      <c r="Q46" s="48" t="s">
        <v>10</v>
      </c>
      <c r="R46" s="48" t="s">
        <v>277</v>
      </c>
      <c r="S46" s="48">
        <v>2016</v>
      </c>
      <c r="T46" s="48"/>
      <c r="U46" s="48"/>
      <c r="V46" s="48"/>
      <c r="W46" s="48"/>
      <c r="X46" s="48"/>
      <c r="Z46" s="37" t="str" cm="1">
        <f t="array" ref="Z46">IFERROR(_xlfn._xlws.FILTER(C46,E46="Tractor"),"")</f>
        <v>Thierno Aliou Thiam</v>
      </c>
      <c r="AA46" s="1" t="str">
        <v>Thierno Hameth SALL</v>
      </c>
      <c r="AB46" s="37" t="str" cm="1">
        <f t="array" ref="AB46">IFERROR(_xlfn._xlws.FILTER(C46,F46="Combine Harvester"),"")</f>
        <v/>
      </c>
      <c r="AE46" s="41" t="s">
        <v>180</v>
      </c>
      <c r="AF46" s="40" t="str">
        <f t="shared" si="0"/>
        <v>Union</v>
      </c>
      <c r="AG46" s="13"/>
      <c r="AH46" s="13"/>
    </row>
    <row r="47" spans="1:34">
      <c r="A47" s="45">
        <v>23</v>
      </c>
      <c r="B47" s="46" t="s">
        <v>14</v>
      </c>
      <c r="C47" s="59" t="s">
        <v>64</v>
      </c>
      <c r="D47" s="59" t="s">
        <v>235</v>
      </c>
      <c r="E47" s="46" t="s">
        <v>275</v>
      </c>
      <c r="F47" s="46"/>
      <c r="G47" s="62" t="s">
        <v>55</v>
      </c>
      <c r="H47" s="13" t="s">
        <v>303</v>
      </c>
      <c r="I47" s="47" t="s">
        <v>65</v>
      </c>
      <c r="J47" s="46" t="s">
        <v>66</v>
      </c>
      <c r="K47" s="48" t="s">
        <v>22</v>
      </c>
      <c r="L47" s="48"/>
      <c r="M47" s="48"/>
      <c r="N47" s="48">
        <v>125</v>
      </c>
      <c r="O47" s="49" t="s">
        <v>277</v>
      </c>
      <c r="P47" s="48">
        <v>2016</v>
      </c>
      <c r="Q47" s="48" t="s">
        <v>10</v>
      </c>
      <c r="R47" s="48" t="s">
        <v>277</v>
      </c>
      <c r="S47" s="48">
        <v>2016</v>
      </c>
      <c r="T47" s="50"/>
      <c r="U47" s="50"/>
      <c r="V47" s="50"/>
      <c r="W47" s="50"/>
      <c r="X47" s="50"/>
      <c r="Z47" s="37" t="str" cm="1">
        <f t="array" ref="Z47">IFERROR(_xlfn._xlws.FILTER(C47,E47="Tractor"),"")</f>
        <v>GIE Nourou Cheikh Moussa Camara</v>
      </c>
      <c r="AA47" s="1" t="str">
        <v>Union du Casier Doumga Ouro Thierno</v>
      </c>
      <c r="AB47" s="37" t="str" cm="1">
        <f t="array" ref="AB47">IFERROR(_xlfn._xlws.FILTER(C47,F47="Combine Harvester"),"")</f>
        <v/>
      </c>
      <c r="AE47" s="41" t="s">
        <v>193</v>
      </c>
      <c r="AF47" s="40" t="str">
        <f t="shared" si="0"/>
        <v>Private</v>
      </c>
      <c r="AG47" s="13"/>
      <c r="AH47" s="13"/>
    </row>
    <row r="48" spans="1:34">
      <c r="A48" s="52">
        <v>23</v>
      </c>
      <c r="B48" s="46" t="s">
        <v>3</v>
      </c>
      <c r="C48" s="56" t="s">
        <v>168</v>
      </c>
      <c r="D48" s="56" t="s">
        <v>32</v>
      </c>
      <c r="E48" s="46" t="s">
        <v>275</v>
      </c>
      <c r="F48" s="46"/>
      <c r="G48" s="57" t="s">
        <v>306</v>
      </c>
      <c r="H48" s="57" t="s">
        <v>208</v>
      </c>
      <c r="I48" s="58" t="s">
        <v>201</v>
      </c>
      <c r="J48" s="55" t="s">
        <v>202</v>
      </c>
      <c r="K48" s="48" t="s">
        <v>29</v>
      </c>
      <c r="L48" s="48"/>
      <c r="M48" s="48"/>
      <c r="N48" s="48" t="s">
        <v>53</v>
      </c>
      <c r="O48" s="49" t="s">
        <v>281</v>
      </c>
      <c r="P48" s="48">
        <v>2015</v>
      </c>
      <c r="Q48" s="48" t="s">
        <v>10</v>
      </c>
      <c r="R48" s="49" t="s">
        <v>277</v>
      </c>
      <c r="S48" s="48">
        <v>2015</v>
      </c>
      <c r="T48" s="48"/>
      <c r="U48" s="48"/>
      <c r="V48" s="48"/>
      <c r="W48" s="49"/>
      <c r="X48" s="48"/>
      <c r="Z48" s="37" t="str" cm="1">
        <f t="array" ref="Z48">IFERROR(_xlfn._xlws.FILTER(C48,E48="Tractor"),"")</f>
        <v>Union  Hydraulique  de  Matam</v>
      </c>
      <c r="AA48" s="1" t="str">
        <v>Union des GIE de Diamoungeul 1 et 2</v>
      </c>
      <c r="AB48" s="37" t="str" cm="1">
        <f t="array" ref="AB48">IFERROR(_xlfn._xlws.FILTER(C48,F48="Combine Harvester"),"")</f>
        <v/>
      </c>
      <c r="AE48" s="41" t="s">
        <v>195</v>
      </c>
      <c r="AF48" s="40" t="str">
        <f t="shared" si="0"/>
        <v>Private</v>
      </c>
      <c r="AG48" s="13"/>
      <c r="AH48" s="13"/>
    </row>
    <row r="49" spans="1:34">
      <c r="A49" s="53">
        <v>24</v>
      </c>
      <c r="B49" s="46" t="s">
        <v>14</v>
      </c>
      <c r="C49" s="56" t="s">
        <v>67</v>
      </c>
      <c r="D49" s="56" t="s">
        <v>235</v>
      </c>
      <c r="E49" s="46" t="s">
        <v>275</v>
      </c>
      <c r="F49" s="46"/>
      <c r="G49" s="57" t="s">
        <v>55</v>
      </c>
      <c r="H49" s="13" t="s">
        <v>303</v>
      </c>
      <c r="I49" s="58" t="s">
        <v>68</v>
      </c>
      <c r="J49" s="55" t="s">
        <v>69</v>
      </c>
      <c r="K49" s="48" t="s">
        <v>22</v>
      </c>
      <c r="L49" s="48"/>
      <c r="M49" s="48"/>
      <c r="N49" s="48">
        <v>125</v>
      </c>
      <c r="O49" s="49" t="s">
        <v>277</v>
      </c>
      <c r="P49" s="48">
        <v>2016</v>
      </c>
      <c r="Q49" s="48" t="s">
        <v>10</v>
      </c>
      <c r="R49" s="49" t="s">
        <v>277</v>
      </c>
      <c r="S49" s="48">
        <v>2016</v>
      </c>
      <c r="T49" s="50"/>
      <c r="U49" s="50"/>
      <c r="V49" s="50"/>
      <c r="W49" s="51"/>
      <c r="X49" s="50"/>
      <c r="Z49" s="37" t="str" cm="1">
        <f t="array" ref="Z49">IFERROR(_xlfn._xlws.FILTER(C49,E49="Tractor"),"")</f>
        <v>GIE PiP Balel</v>
      </c>
      <c r="AA49" s="1" t="str">
        <v>Union Hydraulique de Kobilo</v>
      </c>
      <c r="AB49" s="37" t="str" cm="1">
        <f t="array" ref="AB49">IFERROR(_xlfn._xlws.FILTER(C49,F49="Combine Harvester"),"")</f>
        <v/>
      </c>
      <c r="AE49" s="41" t="s">
        <v>326</v>
      </c>
      <c r="AF49" s="40" t="str">
        <f t="shared" si="0"/>
        <v>Union</v>
      </c>
      <c r="AG49" s="13"/>
      <c r="AH49" s="13"/>
    </row>
    <row r="50" spans="1:34">
      <c r="A50" s="52">
        <v>24</v>
      </c>
      <c r="B50" s="46" t="s">
        <v>3</v>
      </c>
      <c r="C50" s="56" t="s">
        <v>168</v>
      </c>
      <c r="D50" s="56" t="s">
        <v>32</v>
      </c>
      <c r="E50" s="46" t="s">
        <v>275</v>
      </c>
      <c r="F50" s="46"/>
      <c r="G50" s="57" t="s">
        <v>306</v>
      </c>
      <c r="H50" s="57" t="s">
        <v>208</v>
      </c>
      <c r="I50" s="58" t="s">
        <v>201</v>
      </c>
      <c r="J50" s="55" t="s">
        <v>203</v>
      </c>
      <c r="K50" s="48" t="s">
        <v>9</v>
      </c>
      <c r="L50" s="48"/>
      <c r="M50" s="48"/>
      <c r="N50" s="48" t="s">
        <v>53</v>
      </c>
      <c r="O50" s="49" t="s">
        <v>281</v>
      </c>
      <c r="P50" s="48">
        <v>2019</v>
      </c>
      <c r="Q50" s="48" t="s">
        <v>10</v>
      </c>
      <c r="R50" s="49" t="s">
        <v>277</v>
      </c>
      <c r="S50" s="48">
        <v>2019</v>
      </c>
      <c r="T50" s="48"/>
      <c r="U50" s="48"/>
      <c r="V50" s="48"/>
      <c r="W50" s="49"/>
      <c r="X50" s="48"/>
      <c r="Z50" s="37" t="str" cm="1">
        <f t="array" ref="Z50">IFERROR(_xlfn._xlws.FILTER(C50,E50="Tractor"),"")</f>
        <v>Union  Hydraulique  de  Matam</v>
      </c>
      <c r="AA50" s="1" t="str">
        <v>Union Hydraulique de Dolol/Wodobéré</v>
      </c>
      <c r="AB50" s="37" t="str" cm="1">
        <f t="array" ref="AB50">IFERROR(_xlfn._xlws.FILTER(C50,F50="Combine Harvester"),"")</f>
        <v/>
      </c>
      <c r="AE50" s="41" t="s">
        <v>327</v>
      </c>
      <c r="AF50" s="40" t="str">
        <f t="shared" si="0"/>
        <v>Union</v>
      </c>
      <c r="AG50" s="13"/>
      <c r="AH50" s="13"/>
    </row>
    <row r="51" spans="1:34" ht="29">
      <c r="A51" s="45">
        <v>25</v>
      </c>
      <c r="B51" s="46" t="s">
        <v>14</v>
      </c>
      <c r="C51" s="56" t="s">
        <v>70</v>
      </c>
      <c r="D51" s="56" t="s">
        <v>235</v>
      </c>
      <c r="E51" s="46" t="s">
        <v>275</v>
      </c>
      <c r="F51" s="46"/>
      <c r="G51" s="57" t="s">
        <v>17</v>
      </c>
      <c r="H51" s="13" t="s">
        <v>303</v>
      </c>
      <c r="I51" s="58" t="s">
        <v>71</v>
      </c>
      <c r="J51" s="55" t="s">
        <v>19</v>
      </c>
      <c r="K51" s="48" t="s">
        <v>9</v>
      </c>
      <c r="L51" s="48"/>
      <c r="M51" s="48"/>
      <c r="N51" s="48">
        <v>100</v>
      </c>
      <c r="O51" s="49" t="s">
        <v>277</v>
      </c>
      <c r="P51" s="48">
        <v>2019</v>
      </c>
      <c r="Q51" s="48" t="s">
        <v>10</v>
      </c>
      <c r="R51" s="49" t="s">
        <v>277</v>
      </c>
      <c r="S51" s="48">
        <v>2019</v>
      </c>
      <c r="T51" s="50"/>
      <c r="U51" s="50"/>
      <c r="V51" s="50"/>
      <c r="W51" s="51"/>
      <c r="X51" s="50"/>
      <c r="Z51" s="37" t="str" cm="1">
        <f t="array" ref="Z51">IFERROR(_xlfn._xlws.FILTER(C51,E51="Tractor"),"")</f>
        <v xml:space="preserve">GIE Waoundé 1 </v>
      </c>
      <c r="AA51" s="1" t="str">
        <v>Ibrahima THIOUB</v>
      </c>
      <c r="AB51" s="37" t="str" cm="1">
        <f t="array" ref="AB51">IFERROR(_xlfn._xlws.FILTER(C51,F51="Combine Harvester"),"")</f>
        <v/>
      </c>
      <c r="AE51" s="41" t="s">
        <v>328</v>
      </c>
      <c r="AF51" s="40" t="str">
        <f t="shared" si="0"/>
        <v>Private</v>
      </c>
      <c r="AG51" s="13"/>
      <c r="AH51" s="13"/>
    </row>
    <row r="52" spans="1:34" ht="24">
      <c r="A52" s="52">
        <v>25</v>
      </c>
      <c r="B52" s="46" t="s">
        <v>3</v>
      </c>
      <c r="C52" s="56" t="s">
        <v>169</v>
      </c>
      <c r="D52" s="56" t="s">
        <v>32</v>
      </c>
      <c r="E52" s="46" t="s">
        <v>275</v>
      </c>
      <c r="F52" s="46"/>
      <c r="G52" s="57" t="s">
        <v>154</v>
      </c>
      <c r="H52" s="57" t="s">
        <v>297</v>
      </c>
      <c r="I52" s="58" t="s">
        <v>170</v>
      </c>
      <c r="J52" s="55" t="s">
        <v>171</v>
      </c>
      <c r="K52" s="48" t="s">
        <v>176</v>
      </c>
      <c r="L52" s="48"/>
      <c r="M52" s="48"/>
      <c r="N52" s="48">
        <v>125</v>
      </c>
      <c r="O52" s="49" t="s">
        <v>277</v>
      </c>
      <c r="P52" s="48">
        <v>2017</v>
      </c>
      <c r="Q52" s="48" t="s">
        <v>10</v>
      </c>
      <c r="R52" s="49" t="s">
        <v>277</v>
      </c>
      <c r="S52" s="48">
        <v>2017</v>
      </c>
      <c r="T52" s="48"/>
      <c r="U52" s="48"/>
      <c r="V52" s="48"/>
      <c r="W52" s="49"/>
      <c r="X52" s="48"/>
      <c r="Z52" s="37" t="str" cm="1">
        <f t="array" ref="Z52">IFERROR(_xlfn._xlws.FILTER(C52,E52="Tractor"),"")</f>
        <v>Union de Sadel</v>
      </c>
      <c r="AA52" s="1" t="str">
        <v>Mbegnouga et frères</v>
      </c>
      <c r="AB52" s="37" t="str" cm="1">
        <f t="array" ref="AB52">IFERROR(_xlfn._xlws.FILTER(C52,F52="Combine Harvester"),"")</f>
        <v/>
      </c>
      <c r="AE52" s="41" t="s">
        <v>329</v>
      </c>
      <c r="AF52" s="40" t="str">
        <f t="shared" si="0"/>
        <v>Private</v>
      </c>
      <c r="AG52" s="13"/>
      <c r="AH52" s="13"/>
    </row>
    <row r="53" spans="1:34">
      <c r="A53" s="53">
        <v>26</v>
      </c>
      <c r="B53" s="46" t="s">
        <v>14</v>
      </c>
      <c r="C53" s="58" t="s">
        <v>72</v>
      </c>
      <c r="D53" s="56" t="s">
        <v>235</v>
      </c>
      <c r="E53" s="46" t="s">
        <v>275</v>
      </c>
      <c r="F53" s="46"/>
      <c r="G53" s="55" t="s">
        <v>14</v>
      </c>
      <c r="H53" s="63" t="s">
        <v>5</v>
      </c>
      <c r="I53" s="58" t="s">
        <v>72</v>
      </c>
      <c r="J53" s="55">
        <v>772166493</v>
      </c>
      <c r="K53" s="48" t="s">
        <v>9</v>
      </c>
      <c r="L53" s="48"/>
      <c r="M53" s="48"/>
      <c r="N53" s="48">
        <v>100</v>
      </c>
      <c r="O53" s="49" t="s">
        <v>281</v>
      </c>
      <c r="P53" s="48">
        <v>2019</v>
      </c>
      <c r="Q53" s="48" t="s">
        <v>10</v>
      </c>
      <c r="R53" s="49" t="s">
        <v>277</v>
      </c>
      <c r="S53" s="48">
        <v>2019</v>
      </c>
      <c r="T53" s="50"/>
      <c r="U53" s="50"/>
      <c r="V53" s="50"/>
      <c r="W53" s="51"/>
      <c r="X53" s="50"/>
      <c r="Z53" s="37" t="str" cm="1">
        <f t="array" ref="Z53">IFERROR(_xlfn._xlws.FILTER(C53,E53="Tractor"),"")</f>
        <v>Kadiatou BASSOUM</v>
      </c>
      <c r="AA53" s="1" t="str">
        <v>Union Hydraulique de Ndouloumadji</v>
      </c>
      <c r="AB53" s="37" t="str" cm="1">
        <f t="array" ref="AB53">IFERROR(_xlfn._xlws.FILTER(C53,F53="Combine Harvester"),"")</f>
        <v/>
      </c>
      <c r="AE53" s="41" t="s">
        <v>330</v>
      </c>
      <c r="AF53" s="40" t="str">
        <f t="shared" si="0"/>
        <v>Union</v>
      </c>
      <c r="AG53" s="13"/>
      <c r="AH53" s="13"/>
    </row>
    <row r="54" spans="1:34">
      <c r="A54" s="52">
        <v>26</v>
      </c>
      <c r="B54" s="46" t="s">
        <v>3</v>
      </c>
      <c r="C54" s="56" t="s">
        <v>169</v>
      </c>
      <c r="D54" s="56" t="s">
        <v>32</v>
      </c>
      <c r="E54" s="46" t="s">
        <v>275</v>
      </c>
      <c r="F54" s="46"/>
      <c r="G54" s="57" t="s">
        <v>154</v>
      </c>
      <c r="H54" s="57" t="s">
        <v>297</v>
      </c>
      <c r="I54" s="58" t="s">
        <v>170</v>
      </c>
      <c r="J54" s="55" t="s">
        <v>172</v>
      </c>
      <c r="K54" s="48" t="s">
        <v>29</v>
      </c>
      <c r="L54" s="48"/>
      <c r="M54" s="48"/>
      <c r="N54" s="48" t="s">
        <v>30</v>
      </c>
      <c r="O54" s="49" t="s">
        <v>277</v>
      </c>
      <c r="P54" s="48">
        <v>2015</v>
      </c>
      <c r="Q54" s="48" t="s">
        <v>10</v>
      </c>
      <c r="R54" s="49" t="s">
        <v>277</v>
      </c>
      <c r="S54" s="48">
        <v>2015</v>
      </c>
      <c r="T54" s="48"/>
      <c r="U54" s="48"/>
      <c r="V54" s="48"/>
      <c r="W54" s="49"/>
      <c r="X54" s="48"/>
      <c r="Z54" s="37" t="str" cm="1">
        <f t="array" ref="Z54">IFERROR(_xlfn._xlws.FILTER(C54,E54="Tractor"),"")</f>
        <v>Union de Sadel</v>
      </c>
      <c r="AA54" s="1" t="str">
        <v>Union Orkadiéré</v>
      </c>
      <c r="AB54" s="37" t="str" cm="1">
        <f t="array" ref="AB54">IFERROR(_xlfn._xlws.FILTER(C54,F54="Combine Harvester"),"")</f>
        <v/>
      </c>
      <c r="AE54" s="41" t="s">
        <v>331</v>
      </c>
      <c r="AF54" s="40" t="str">
        <f t="shared" si="0"/>
        <v>Private</v>
      </c>
      <c r="AG54" s="13"/>
      <c r="AH54" s="13"/>
    </row>
    <row r="55" spans="1:34">
      <c r="A55" s="45">
        <v>27</v>
      </c>
      <c r="B55" s="46" t="s">
        <v>14</v>
      </c>
      <c r="C55" s="58" t="s">
        <v>73</v>
      </c>
      <c r="D55" s="56" t="s">
        <v>235</v>
      </c>
      <c r="E55" s="46" t="s">
        <v>275</v>
      </c>
      <c r="F55" s="46"/>
      <c r="G55" s="55" t="s">
        <v>14</v>
      </c>
      <c r="H55" s="63" t="s">
        <v>5</v>
      </c>
      <c r="I55" s="58" t="s">
        <v>73</v>
      </c>
      <c r="J55" s="55">
        <v>775487856</v>
      </c>
      <c r="K55" s="48" t="s">
        <v>9</v>
      </c>
      <c r="L55" s="48"/>
      <c r="M55" s="48"/>
      <c r="N55" s="48">
        <v>100</v>
      </c>
      <c r="O55" s="49" t="s">
        <v>277</v>
      </c>
      <c r="P55" s="48">
        <v>2019</v>
      </c>
      <c r="Q55" s="48" t="s">
        <v>10</v>
      </c>
      <c r="R55" s="49" t="s">
        <v>277</v>
      </c>
      <c r="S55" s="48">
        <v>2019</v>
      </c>
      <c r="T55" s="50"/>
      <c r="U55" s="50"/>
      <c r="V55" s="50"/>
      <c r="W55" s="51"/>
      <c r="X55" s="50"/>
      <c r="Z55" s="37" t="str" cm="1">
        <f t="array" ref="Z55">IFERROR(_xlfn._xlws.FILTER(C55,E55="Tractor"),"")</f>
        <v>Kisma Delba SOW</v>
      </c>
      <c r="AA55" s="1" t="str">
        <v>Union Kawral Rémobé 
Nguénar</v>
      </c>
      <c r="AB55" s="37" t="str" cm="1">
        <f t="array" ref="AB55">IFERROR(_xlfn._xlws.FILTER(C55,F55="Combine Harvester"),"")</f>
        <v/>
      </c>
      <c r="AE55" s="41" t="s">
        <v>332</v>
      </c>
      <c r="AF55" s="40" t="str">
        <f t="shared" si="0"/>
        <v>Union</v>
      </c>
      <c r="AG55" s="13"/>
      <c r="AH55" s="13"/>
    </row>
    <row r="56" spans="1:34">
      <c r="A56" s="52">
        <v>27</v>
      </c>
      <c r="B56" s="46" t="s">
        <v>3</v>
      </c>
      <c r="C56" s="56" t="s">
        <v>173</v>
      </c>
      <c r="D56" s="56" t="s">
        <v>32</v>
      </c>
      <c r="E56" s="46" t="s">
        <v>275</v>
      </c>
      <c r="F56" s="46"/>
      <c r="G56" s="57" t="s">
        <v>132</v>
      </c>
      <c r="H56" s="57" t="s">
        <v>298</v>
      </c>
      <c r="I56" s="58" t="s">
        <v>174</v>
      </c>
      <c r="J56" s="55" t="s">
        <v>175</v>
      </c>
      <c r="K56" s="48" t="s">
        <v>22</v>
      </c>
      <c r="L56" s="48"/>
      <c r="M56" s="48"/>
      <c r="N56" s="48">
        <v>125</v>
      </c>
      <c r="O56" s="49" t="s">
        <v>277</v>
      </c>
      <c r="P56" s="48">
        <v>2016</v>
      </c>
      <c r="Q56" s="48" t="s">
        <v>10</v>
      </c>
      <c r="R56" s="49" t="s">
        <v>277</v>
      </c>
      <c r="S56" s="48">
        <v>2016</v>
      </c>
      <c r="T56" s="48"/>
      <c r="U56" s="48"/>
      <c r="V56" s="48"/>
      <c r="W56" s="49"/>
      <c r="X56" s="48"/>
      <c r="Z56" s="37" t="str" cm="1">
        <f t="array" ref="Z56">IFERROR(_xlfn._xlws.FILTER(C56,E56="Tractor"),"")</f>
        <v>Union des GIE de DIAL</v>
      </c>
      <c r="AA56" s="1" t="str">
        <v>Union Régionale des Interprofessionnels de Semences (URIS)</v>
      </c>
      <c r="AB56" s="37" t="str" cm="1">
        <f t="array" ref="AB56">IFERROR(_xlfn._xlws.FILTER(C56,F56="Combine Harvester"),"")</f>
        <v/>
      </c>
      <c r="AE56" s="41" t="s">
        <v>196</v>
      </c>
      <c r="AF56" s="40" t="str">
        <f t="shared" si="0"/>
        <v>Private</v>
      </c>
      <c r="AG56" s="13"/>
      <c r="AH56" s="13"/>
    </row>
    <row r="57" spans="1:34">
      <c r="A57" s="53">
        <v>28</v>
      </c>
      <c r="B57" s="46" t="s">
        <v>14</v>
      </c>
      <c r="C57" s="58" t="s">
        <v>74</v>
      </c>
      <c r="D57" s="56" t="s">
        <v>235</v>
      </c>
      <c r="E57" s="46" t="s">
        <v>275</v>
      </c>
      <c r="F57" s="46"/>
      <c r="G57" s="55" t="s">
        <v>14</v>
      </c>
      <c r="H57" s="63" t="s">
        <v>5</v>
      </c>
      <c r="I57" s="58" t="s">
        <v>74</v>
      </c>
      <c r="J57" s="55">
        <v>7763665586</v>
      </c>
      <c r="K57" s="48" t="s">
        <v>9</v>
      </c>
      <c r="L57" s="48"/>
      <c r="M57" s="48"/>
      <c r="N57" s="48">
        <v>100</v>
      </c>
      <c r="O57" s="49" t="s">
        <v>277</v>
      </c>
      <c r="P57" s="48">
        <v>2019</v>
      </c>
      <c r="Q57" s="48" t="s">
        <v>10</v>
      </c>
      <c r="R57" s="49" t="s">
        <v>277</v>
      </c>
      <c r="S57" s="48">
        <v>2019</v>
      </c>
      <c r="T57" s="50"/>
      <c r="U57" s="50"/>
      <c r="V57" s="50"/>
      <c r="W57" s="51"/>
      <c r="X57" s="50"/>
      <c r="Z57" s="37" t="str" cm="1">
        <f t="array" ref="Z57">IFERROR(_xlfn._xlws.FILTER(C57,E57="Tractor"),"")</f>
        <v>Mamadou Abdoulaye MEYTY</v>
      </c>
      <c r="AA57" s="1" t="str">
        <v>Abdoulaye KANE</v>
      </c>
      <c r="AB57" s="37" t="str" cm="1">
        <f t="array" ref="AB57">IFERROR(_xlfn._xlws.FILTER(C57,F57="Combine Harvester"),"")</f>
        <v/>
      </c>
      <c r="AE57" s="41" t="s">
        <v>158</v>
      </c>
      <c r="AF57" s="40" t="str">
        <f t="shared" si="0"/>
        <v>Private</v>
      </c>
      <c r="AG57" s="13"/>
      <c r="AH57" s="13"/>
    </row>
    <row r="58" spans="1:34">
      <c r="A58" s="52">
        <v>28</v>
      </c>
      <c r="B58" s="46" t="s">
        <v>3</v>
      </c>
      <c r="C58" s="56" t="s">
        <v>177</v>
      </c>
      <c r="D58" s="56" t="s">
        <v>32</v>
      </c>
      <c r="E58" s="46" t="s">
        <v>275</v>
      </c>
      <c r="F58" s="46"/>
      <c r="G58" s="57" t="s">
        <v>154</v>
      </c>
      <c r="H58" s="57" t="s">
        <v>297</v>
      </c>
      <c r="I58" s="58" t="s">
        <v>178</v>
      </c>
      <c r="J58" s="55" t="s">
        <v>179</v>
      </c>
      <c r="K58" s="48" t="s">
        <v>22</v>
      </c>
      <c r="L58" s="48"/>
      <c r="M58" s="48"/>
      <c r="N58" s="48">
        <v>125</v>
      </c>
      <c r="O58" s="49" t="s">
        <v>277</v>
      </c>
      <c r="P58" s="48">
        <v>2015</v>
      </c>
      <c r="Q58" s="48" t="s">
        <v>10</v>
      </c>
      <c r="R58" s="49" t="s">
        <v>277</v>
      </c>
      <c r="S58" s="48">
        <v>2015</v>
      </c>
      <c r="T58" s="48"/>
      <c r="U58" s="48"/>
      <c r="V58" s="48"/>
      <c r="W58" s="49"/>
      <c r="X58" s="48"/>
      <c r="Z58" s="37" t="str" cm="1">
        <f t="array" ref="Z58">IFERROR(_xlfn._xlws.FILTER(C58,E58="Tractor"),"")</f>
        <v>Union des GIE de Dondou</v>
      </c>
      <c r="AA58" s="1" t="str">
        <v>Makhana Diéri</v>
      </c>
      <c r="AB58" s="37" t="str" cm="1">
        <f t="array" ref="AB58">IFERROR(_xlfn._xlws.FILTER(C58,F58="Combine Harvester"),"")</f>
        <v/>
      </c>
      <c r="AE58" s="41" t="s">
        <v>333</v>
      </c>
      <c r="AF58" s="40" t="str">
        <f t="shared" si="0"/>
        <v>Private</v>
      </c>
      <c r="AG58" s="13"/>
      <c r="AH58" s="13"/>
    </row>
    <row r="59" spans="1:34" ht="29">
      <c r="A59" s="45">
        <v>29</v>
      </c>
      <c r="B59" s="46" t="s">
        <v>14</v>
      </c>
      <c r="C59" s="58" t="s">
        <v>75</v>
      </c>
      <c r="D59" s="56" t="s">
        <v>235</v>
      </c>
      <c r="E59" s="46" t="s">
        <v>275</v>
      </c>
      <c r="F59" s="46"/>
      <c r="G59" s="58" t="s">
        <v>76</v>
      </c>
      <c r="H59" s="60" t="s">
        <v>302</v>
      </c>
      <c r="I59" s="58" t="s">
        <v>75</v>
      </c>
      <c r="J59" s="55">
        <v>775360437</v>
      </c>
      <c r="K59" s="48" t="s">
        <v>9</v>
      </c>
      <c r="L59" s="48"/>
      <c r="M59" s="48"/>
      <c r="N59" s="48">
        <v>100</v>
      </c>
      <c r="O59" s="49" t="s">
        <v>277</v>
      </c>
      <c r="P59" s="48">
        <v>2019</v>
      </c>
      <c r="Q59" s="48" t="s">
        <v>10</v>
      </c>
      <c r="R59" s="49" t="s">
        <v>277</v>
      </c>
      <c r="S59" s="48">
        <v>2019</v>
      </c>
      <c r="T59" s="50"/>
      <c r="U59" s="50"/>
      <c r="V59" s="50"/>
      <c r="W59" s="51"/>
      <c r="X59" s="50"/>
      <c r="Z59" s="37" t="str" cm="1">
        <f t="array" ref="Z59">IFERROR(_xlfn._xlws.FILTER(C59,E59="Tractor"),"")</f>
        <v>Thierno Hameth SALL</v>
      </c>
      <c r="AA59" s="1" t="str">
        <v>Amadou KANE</v>
      </c>
      <c r="AB59" s="37" t="str" cm="1">
        <f t="array" ref="AB59">IFERROR(_xlfn._xlws.FILTER(C59,F59="Combine Harvester"),"")</f>
        <v/>
      </c>
      <c r="AE59" s="41" t="s">
        <v>334</v>
      </c>
      <c r="AF59" s="40" t="str">
        <f t="shared" si="0"/>
        <v>Union</v>
      </c>
      <c r="AG59" s="13"/>
      <c r="AH59" s="13"/>
    </row>
    <row r="60" spans="1:34" ht="24">
      <c r="A60" s="52">
        <v>29</v>
      </c>
      <c r="B60" s="46" t="s">
        <v>23</v>
      </c>
      <c r="C60" s="58" t="s">
        <v>180</v>
      </c>
      <c r="D60" s="55" t="s">
        <v>32</v>
      </c>
      <c r="E60" s="46" t="s">
        <v>275</v>
      </c>
      <c r="F60" s="46" t="s">
        <v>276</v>
      </c>
      <c r="G60" s="57" t="s">
        <v>154</v>
      </c>
      <c r="H60" s="57" t="s">
        <v>297</v>
      </c>
      <c r="I60" s="58" t="s">
        <v>205</v>
      </c>
      <c r="J60" s="55" t="s">
        <v>204</v>
      </c>
      <c r="K60" s="48" t="s">
        <v>176</v>
      </c>
      <c r="L60" s="48"/>
      <c r="M60" s="48"/>
      <c r="N60" s="48">
        <v>125</v>
      </c>
      <c r="O60" s="49" t="s">
        <v>277</v>
      </c>
      <c r="P60" s="48">
        <v>2020</v>
      </c>
      <c r="Q60" s="48" t="s">
        <v>10</v>
      </c>
      <c r="R60" s="49" t="s">
        <v>277</v>
      </c>
      <c r="S60" s="48">
        <v>2020</v>
      </c>
      <c r="T60" s="65"/>
      <c r="U60" s="65"/>
      <c r="V60" s="65" t="s">
        <v>53</v>
      </c>
      <c r="W60" s="49" t="s">
        <v>277</v>
      </c>
      <c r="X60" s="65">
        <v>2019</v>
      </c>
      <c r="Z60" s="37" t="str" cm="1">
        <f t="array" ref="Z60">IFERROR(_xlfn._xlws.FILTER(C60,E60="Tractor"),"")</f>
        <v>Union du Casier Doumga Ouro Thierno</v>
      </c>
      <c r="AA60" s="1" t="str">
        <v>Mouhamed WAGUE</v>
      </c>
      <c r="AB60" s="37" t="str" cm="1">
        <f t="array" ref="AB60">IFERROR(_xlfn._xlws.FILTER(C60,F60="Combine Harvester"),"")</f>
        <v>Union du Casier Doumga Ouro Thierno</v>
      </c>
      <c r="AE60" s="41" t="s">
        <v>184</v>
      </c>
      <c r="AF60" s="40" t="str">
        <f t="shared" si="0"/>
        <v>Private</v>
      </c>
      <c r="AG60" s="13"/>
      <c r="AH60" s="13"/>
    </row>
    <row r="61" spans="1:34">
      <c r="A61" s="53">
        <v>30</v>
      </c>
      <c r="B61" s="46" t="s">
        <v>14</v>
      </c>
      <c r="C61" s="56" t="s">
        <v>77</v>
      </c>
      <c r="D61" s="56" t="s">
        <v>32</v>
      </c>
      <c r="E61" s="46" t="s">
        <v>275</v>
      </c>
      <c r="F61" s="46"/>
      <c r="G61" s="57" t="s">
        <v>78</v>
      </c>
      <c r="H61" s="13" t="s">
        <v>301</v>
      </c>
      <c r="I61" s="58" t="s">
        <v>79</v>
      </c>
      <c r="J61" s="55" t="s">
        <v>80</v>
      </c>
      <c r="K61" s="48" t="s">
        <v>22</v>
      </c>
      <c r="L61" s="48"/>
      <c r="M61" s="48"/>
      <c r="N61" s="48">
        <v>125</v>
      </c>
      <c r="O61" s="49" t="s">
        <v>281</v>
      </c>
      <c r="P61" s="48">
        <v>2015</v>
      </c>
      <c r="Q61" s="48" t="s">
        <v>10</v>
      </c>
      <c r="R61" s="49" t="s">
        <v>277</v>
      </c>
      <c r="S61" s="48">
        <v>2015</v>
      </c>
      <c r="T61" s="50"/>
      <c r="U61" s="50"/>
      <c r="V61" s="50"/>
      <c r="W61" s="51"/>
      <c r="X61" s="50"/>
      <c r="Z61" s="37" t="str" cm="1">
        <f t="array" ref="Z61">IFERROR(_xlfn._xlws.FILTER(C61,E61="Tractor"),"")</f>
        <v>Union des GIE de Diamoungeul 1 et 2</v>
      </c>
      <c r="AA61" s="1" t="str">
        <v>Yaya Abdoul KANE</v>
      </c>
      <c r="AB61" s="37" t="str" cm="1">
        <f t="array" ref="AB61">IFERROR(_xlfn._xlws.FILTER(C61,F61="Combine Harvester"),"")</f>
        <v/>
      </c>
      <c r="AE61" s="41" t="s">
        <v>198</v>
      </c>
      <c r="AF61" s="40" t="str">
        <f t="shared" si="0"/>
        <v>Private</v>
      </c>
      <c r="AG61" s="13"/>
      <c r="AH61" s="13"/>
    </row>
    <row r="62" spans="1:34">
      <c r="A62" s="52">
        <v>30</v>
      </c>
      <c r="B62" s="46" t="s">
        <v>3</v>
      </c>
      <c r="C62" s="56" t="s">
        <v>181</v>
      </c>
      <c r="D62" s="56" t="s">
        <v>32</v>
      </c>
      <c r="E62" s="46" t="s">
        <v>275</v>
      </c>
      <c r="F62" s="46" t="s">
        <v>276</v>
      </c>
      <c r="G62" s="57" t="s">
        <v>132</v>
      </c>
      <c r="H62" s="57" t="s">
        <v>298</v>
      </c>
      <c r="I62" s="58" t="s">
        <v>200</v>
      </c>
      <c r="J62" s="55" t="s">
        <v>182</v>
      </c>
      <c r="K62" s="48" t="s">
        <v>29</v>
      </c>
      <c r="L62" s="48"/>
      <c r="M62" s="48"/>
      <c r="N62" s="48" t="s">
        <v>53</v>
      </c>
      <c r="O62" s="49" t="s">
        <v>277</v>
      </c>
      <c r="P62" s="48">
        <v>2015</v>
      </c>
      <c r="Q62" s="48" t="s">
        <v>10</v>
      </c>
      <c r="R62" s="49" t="s">
        <v>277</v>
      </c>
      <c r="S62" s="48">
        <v>2015</v>
      </c>
      <c r="T62" s="48"/>
      <c r="U62" s="48"/>
      <c r="V62" s="48" t="s">
        <v>53</v>
      </c>
      <c r="W62" s="49" t="s">
        <v>277</v>
      </c>
      <c r="X62" s="48">
        <v>2016</v>
      </c>
      <c r="Z62" s="37" t="str" cm="1">
        <f t="array" ref="Z62">IFERROR(_xlfn._xlws.FILTER(C62,E62="Tractor"),"")</f>
        <v>Union Hydraulique de Kobilo</v>
      </c>
      <c r="AA62" s="1" t="str">
        <v>Famille Mbégnouga</v>
      </c>
      <c r="AB62" s="37" t="str" cm="1">
        <f t="array" ref="AB62">IFERROR(_xlfn._xlws.FILTER(C62,F62="Combine Harvester"),"")</f>
        <v>Union Hydraulique de Kobilo</v>
      </c>
      <c r="AE62" s="41" t="s">
        <v>162</v>
      </c>
      <c r="AF62" s="40" t="str">
        <f t="shared" si="0"/>
        <v>Private</v>
      </c>
      <c r="AG62" s="13"/>
      <c r="AH62" s="13"/>
    </row>
    <row r="63" spans="1:34" ht="43.5">
      <c r="A63" s="45">
        <v>31</v>
      </c>
      <c r="B63" s="46" t="s">
        <v>14</v>
      </c>
      <c r="C63" s="56" t="s">
        <v>81</v>
      </c>
      <c r="D63" s="56" t="s">
        <v>32</v>
      </c>
      <c r="E63" s="46" t="s">
        <v>275</v>
      </c>
      <c r="F63" s="46"/>
      <c r="G63" s="57" t="s">
        <v>25</v>
      </c>
      <c r="H63" s="60" t="s">
        <v>302</v>
      </c>
      <c r="I63" s="58" t="s">
        <v>82</v>
      </c>
      <c r="J63" s="55" t="s">
        <v>83</v>
      </c>
      <c r="K63" s="48" t="s">
        <v>22</v>
      </c>
      <c r="L63" s="48"/>
      <c r="M63" s="48"/>
      <c r="N63" s="48" t="s">
        <v>53</v>
      </c>
      <c r="O63" s="49" t="s">
        <v>281</v>
      </c>
      <c r="P63" s="48">
        <v>2016</v>
      </c>
      <c r="Q63" s="48" t="s">
        <v>10</v>
      </c>
      <c r="R63" s="49" t="s">
        <v>277</v>
      </c>
      <c r="S63" s="48">
        <v>2016</v>
      </c>
      <c r="T63" s="50"/>
      <c r="U63" s="50"/>
      <c r="V63" s="50"/>
      <c r="W63" s="51"/>
      <c r="X63" s="50"/>
      <c r="Z63" s="37" t="str" cm="1">
        <f t="array" ref="Z63">IFERROR(_xlfn._xlws.FILTER(C63,E63="Tractor"),"")</f>
        <v>Union Hydraulique de Dolol/Wodobéré</v>
      </c>
      <c r="AA63" s="1" t="str">
        <v>Demba Gatta THIOUB</v>
      </c>
      <c r="AB63" s="37" t="str" cm="1">
        <f t="array" ref="AB63">IFERROR(_xlfn._xlws.FILTER(C63,F63="Combine Harvester"),"")</f>
        <v/>
      </c>
      <c r="AE63" s="41" t="s">
        <v>191</v>
      </c>
      <c r="AF63" s="40" t="str">
        <f t="shared" si="0"/>
        <v>Private</v>
      </c>
      <c r="AG63" s="13"/>
      <c r="AH63" s="13"/>
    </row>
    <row r="64" spans="1:34">
      <c r="A64" s="52">
        <v>31</v>
      </c>
      <c r="B64" s="46" t="s">
        <v>3</v>
      </c>
      <c r="C64" s="56" t="s">
        <v>181</v>
      </c>
      <c r="D64" s="56" t="s">
        <v>32</v>
      </c>
      <c r="E64" s="46" t="s">
        <v>275</v>
      </c>
      <c r="F64" s="46" t="s">
        <v>276</v>
      </c>
      <c r="G64" s="57" t="s">
        <v>132</v>
      </c>
      <c r="H64" s="57" t="s">
        <v>298</v>
      </c>
      <c r="I64" s="58" t="s">
        <v>200</v>
      </c>
      <c r="J64" s="55" t="s">
        <v>183</v>
      </c>
      <c r="K64" s="48" t="s">
        <v>22</v>
      </c>
      <c r="L64" s="48"/>
      <c r="M64" s="48"/>
      <c r="N64" s="48" t="s">
        <v>53</v>
      </c>
      <c r="O64" s="49" t="s">
        <v>277</v>
      </c>
      <c r="P64" s="48">
        <v>2015</v>
      </c>
      <c r="Q64" s="48" t="s">
        <v>10</v>
      </c>
      <c r="R64" s="49" t="s">
        <v>277</v>
      </c>
      <c r="S64" s="48">
        <v>2015</v>
      </c>
      <c r="T64" s="48"/>
      <c r="U64" s="48"/>
      <c r="V64" s="48" t="s">
        <v>53</v>
      </c>
      <c r="W64" s="49" t="s">
        <v>277</v>
      </c>
      <c r="X64" s="48">
        <v>2017</v>
      </c>
      <c r="Z64" s="37" t="str" cm="1">
        <f t="array" ref="Z64">IFERROR(_xlfn._xlws.FILTER(C64,E64="Tractor"),"")</f>
        <v>Union Hydraulique de Kobilo</v>
      </c>
      <c r="AA64" s="1" t="str">
        <v>Thierno Abdoul BA</v>
      </c>
      <c r="AB64" s="37" t="str" cm="1">
        <f t="array" ref="AB64">IFERROR(_xlfn._xlws.FILTER(C64,F64="Combine Harvester"),"")</f>
        <v>Union Hydraulique de Kobilo</v>
      </c>
      <c r="AE64" s="41" t="s">
        <v>166</v>
      </c>
      <c r="AF64" s="40" t="str">
        <f t="shared" si="0"/>
        <v>Private</v>
      </c>
      <c r="AG64" s="13"/>
      <c r="AH64" s="13"/>
    </row>
    <row r="65" spans="1:34">
      <c r="A65" s="53">
        <v>32</v>
      </c>
      <c r="B65" s="46" t="s">
        <v>14</v>
      </c>
      <c r="C65" s="56" t="s">
        <v>31</v>
      </c>
      <c r="D65" s="56" t="s">
        <v>32</v>
      </c>
      <c r="E65" s="46" t="s">
        <v>275</v>
      </c>
      <c r="F65" s="46" t="s">
        <v>276</v>
      </c>
      <c r="G65" s="57" t="s">
        <v>25</v>
      </c>
      <c r="H65" s="60" t="s">
        <v>302</v>
      </c>
      <c r="I65" s="58" t="s">
        <v>33</v>
      </c>
      <c r="J65" s="61" t="s">
        <v>34</v>
      </c>
      <c r="K65" s="48" t="s">
        <v>22</v>
      </c>
      <c r="L65" s="48"/>
      <c r="M65" s="48"/>
      <c r="N65" s="48">
        <v>125</v>
      </c>
      <c r="O65" s="49" t="s">
        <v>277</v>
      </c>
      <c r="P65" s="48">
        <v>2016</v>
      </c>
      <c r="Q65" s="48" t="s">
        <v>10</v>
      </c>
      <c r="R65" s="49" t="s">
        <v>277</v>
      </c>
      <c r="S65" s="48">
        <v>2016</v>
      </c>
      <c r="T65" s="50"/>
      <c r="U65" s="50"/>
      <c r="V65" s="50" t="s">
        <v>53</v>
      </c>
      <c r="W65" s="49" t="s">
        <v>277</v>
      </c>
      <c r="X65" s="50">
        <v>2020</v>
      </c>
      <c r="Z65" s="37" t="str" cm="1">
        <f t="array" ref="Z65">IFERROR(_xlfn._xlws.FILTER(C65,E65="Tractor"),"")</f>
        <v>Union Hydraulique de Hamady Ounaré</v>
      </c>
      <c r="AA65" s="1" t="str">
        <v>DIENG et Fammile</v>
      </c>
      <c r="AB65" s="37" t="str" cm="1">
        <f t="array" ref="AB65">IFERROR(_xlfn._xlws.FILTER(C65,F65="Combine Harvester"),"")</f>
        <v>Union Hydraulique de Hamady Ounaré</v>
      </c>
      <c r="AE65" s="41" t="s">
        <v>113</v>
      </c>
      <c r="AF65" s="40" t="str">
        <f t="shared" si="0"/>
        <v>Private</v>
      </c>
      <c r="AG65" s="13"/>
      <c r="AH65" s="13"/>
    </row>
    <row r="66" spans="1:34" ht="29">
      <c r="A66" s="52">
        <v>32</v>
      </c>
      <c r="B66" s="46" t="s">
        <v>23</v>
      </c>
      <c r="C66" s="58" t="s">
        <v>184</v>
      </c>
      <c r="D66" s="55" t="s">
        <v>236</v>
      </c>
      <c r="E66" s="46" t="s">
        <v>275</v>
      </c>
      <c r="F66" s="46"/>
      <c r="G66" s="57" t="s">
        <v>306</v>
      </c>
      <c r="H66" s="57" t="s">
        <v>208</v>
      </c>
      <c r="I66" s="58" t="s">
        <v>184</v>
      </c>
      <c r="J66" s="55">
        <v>775240412</v>
      </c>
      <c r="K66" s="48" t="s">
        <v>29</v>
      </c>
      <c r="L66" s="48"/>
      <c r="M66" s="48"/>
      <c r="N66" s="48" t="s">
        <v>53</v>
      </c>
      <c r="O66" s="49" t="s">
        <v>277</v>
      </c>
      <c r="P66" s="48">
        <v>2015</v>
      </c>
      <c r="Q66" s="48" t="s">
        <v>10</v>
      </c>
      <c r="R66" s="49" t="s">
        <v>277</v>
      </c>
      <c r="S66" s="48">
        <v>2015</v>
      </c>
      <c r="T66" s="48"/>
      <c r="U66" s="48"/>
      <c r="V66" s="48"/>
      <c r="W66" s="49"/>
      <c r="X66" s="48"/>
      <c r="Z66" s="37" t="str" cm="1">
        <f t="array" ref="Z66">IFERROR(_xlfn._xlws.FILTER(C66,E66="Tractor"),"")</f>
        <v>Ibrahima THIOUB</v>
      </c>
      <c r="AA66" s="1" t="str">
        <v>Samba KANE</v>
      </c>
      <c r="AB66" s="37" t="str" cm="1">
        <f t="array" ref="AB66">IFERROR(_xlfn._xlws.FILTER(C66,F66="Combine Harvester"),"")</f>
        <v/>
      </c>
      <c r="AE66" s="41" t="s">
        <v>335</v>
      </c>
      <c r="AF66" s="40" t="str">
        <f t="shared" si="0"/>
        <v>Private</v>
      </c>
      <c r="AG66" s="13"/>
      <c r="AH66" s="13"/>
    </row>
    <row r="67" spans="1:34" ht="29">
      <c r="A67" s="45">
        <v>33</v>
      </c>
      <c r="B67" s="46" t="s">
        <v>14</v>
      </c>
      <c r="C67" s="58" t="s">
        <v>84</v>
      </c>
      <c r="D67" s="56" t="s">
        <v>235</v>
      </c>
      <c r="E67" s="46" t="s">
        <v>275</v>
      </c>
      <c r="F67" s="46"/>
      <c r="G67" s="55" t="s">
        <v>55</v>
      </c>
      <c r="H67" s="13" t="s">
        <v>303</v>
      </c>
      <c r="I67" s="58" t="s">
        <v>85</v>
      </c>
      <c r="J67" s="55">
        <v>775133615</v>
      </c>
      <c r="K67" s="48" t="s">
        <v>9</v>
      </c>
      <c r="L67" s="48"/>
      <c r="M67" s="48"/>
      <c r="N67" s="48">
        <v>100</v>
      </c>
      <c r="O67" s="49" t="s">
        <v>277</v>
      </c>
      <c r="P67" s="48">
        <v>2019</v>
      </c>
      <c r="Q67" s="48" t="s">
        <v>10</v>
      </c>
      <c r="R67" s="49" t="s">
        <v>277</v>
      </c>
      <c r="S67" s="48">
        <v>2019</v>
      </c>
      <c r="T67" s="50"/>
      <c r="U67" s="50"/>
      <c r="V67" s="50"/>
      <c r="W67" s="51"/>
      <c r="X67" s="50"/>
      <c r="Z67" s="37" t="str" cm="1">
        <f t="array" ref="Z67">IFERROR(_xlfn._xlws.FILTER(C67,E67="Tractor"),"")</f>
        <v>Mbegnouga et frères</v>
      </c>
      <c r="AA67" s="1" t="str">
        <v>Talla</v>
      </c>
      <c r="AB67" s="37" t="str" cm="1">
        <f t="array" ref="AB67">IFERROR(_xlfn._xlws.FILTER(C67,F67="Combine Harvester"),"")</f>
        <v/>
      </c>
      <c r="AE67" s="41" t="s">
        <v>336</v>
      </c>
      <c r="AF67" s="40" t="str">
        <f t="shared" si="0"/>
        <v>Private</v>
      </c>
      <c r="AG67" s="13"/>
      <c r="AH67" s="13"/>
    </row>
    <row r="68" spans="1:34">
      <c r="A68" s="52">
        <v>33</v>
      </c>
      <c r="B68" s="46" t="s">
        <v>3</v>
      </c>
      <c r="C68" s="56" t="s">
        <v>185</v>
      </c>
      <c r="D68" s="56" t="s">
        <v>32</v>
      </c>
      <c r="E68" s="46" t="s">
        <v>275</v>
      </c>
      <c r="F68" s="46" t="s">
        <v>276</v>
      </c>
      <c r="G68" s="57" t="s">
        <v>114</v>
      </c>
      <c r="H68" s="55" t="s">
        <v>300</v>
      </c>
      <c r="I68" s="58" t="s">
        <v>186</v>
      </c>
      <c r="J68" s="55" t="s">
        <v>187</v>
      </c>
      <c r="K68" s="48" t="s">
        <v>22</v>
      </c>
      <c r="L68" s="48"/>
      <c r="M68" s="48"/>
      <c r="N68" s="48">
        <v>120</v>
      </c>
      <c r="O68" s="49" t="s">
        <v>277</v>
      </c>
      <c r="P68" s="48">
        <v>2016</v>
      </c>
      <c r="Q68" s="48" t="s">
        <v>10</v>
      </c>
      <c r="R68" s="49" t="s">
        <v>277</v>
      </c>
      <c r="S68" s="48">
        <v>2016</v>
      </c>
      <c r="T68" s="48"/>
      <c r="U68" s="48"/>
      <c r="V68" s="48" t="s">
        <v>53</v>
      </c>
      <c r="W68" s="49" t="s">
        <v>277</v>
      </c>
      <c r="X68" s="48">
        <v>2019</v>
      </c>
      <c r="Z68" s="37" t="str" cm="1">
        <f t="array" ref="Z68">IFERROR(_xlfn._xlws.FILTER(C68,E68="Tractor"),"")</f>
        <v>Union Hydraulique de Ndouloumadji</v>
      </c>
      <c r="AA68" s="1" t="str">
        <v>Mamadou TALL</v>
      </c>
      <c r="AB68" s="37" t="str" cm="1">
        <f t="array" ref="AB68">IFERROR(_xlfn._xlws.FILTER(C68,F68="Combine Harvester"),"")</f>
        <v>Union Hydraulique de Ndouloumadji</v>
      </c>
      <c r="AE68" s="41" t="s">
        <v>337</v>
      </c>
      <c r="AF68" s="40" t="str">
        <f t="shared" ref="AF68:AF75" si="2">_xlfn.XLOOKUP(AE68,$C$3:$C$94,$D$3:$D$94,"")</f>
        <v>Private</v>
      </c>
      <c r="AG68" s="13"/>
      <c r="AH68" s="13"/>
    </row>
    <row r="69" spans="1:34">
      <c r="A69" s="53">
        <v>34</v>
      </c>
      <c r="B69" s="46" t="s">
        <v>14</v>
      </c>
      <c r="C69" s="56" t="s">
        <v>86</v>
      </c>
      <c r="D69" s="56" t="s">
        <v>32</v>
      </c>
      <c r="E69" s="46" t="s">
        <v>275</v>
      </c>
      <c r="F69" s="46"/>
      <c r="G69" s="57" t="s">
        <v>55</v>
      </c>
      <c r="H69" s="13" t="s">
        <v>303</v>
      </c>
      <c r="I69" s="58" t="s">
        <v>85</v>
      </c>
      <c r="J69" s="55" t="s">
        <v>87</v>
      </c>
      <c r="K69" s="48" t="s">
        <v>29</v>
      </c>
      <c r="L69" s="48"/>
      <c r="M69" s="48"/>
      <c r="N69" s="48" t="s">
        <v>30</v>
      </c>
      <c r="O69" s="49" t="s">
        <v>277</v>
      </c>
      <c r="P69" s="48">
        <v>2015</v>
      </c>
      <c r="Q69" s="48" t="s">
        <v>10</v>
      </c>
      <c r="R69" s="49" t="s">
        <v>277</v>
      </c>
      <c r="S69" s="48">
        <v>2015</v>
      </c>
      <c r="T69" s="50"/>
      <c r="U69" s="50"/>
      <c r="V69" s="50"/>
      <c r="W69" s="51"/>
      <c r="X69" s="50"/>
      <c r="Z69" s="37" t="str" cm="1">
        <f t="array" ref="Z69">IFERROR(_xlfn._xlws.FILTER(C69,E69="Tractor"),"")</f>
        <v>Union Orkadiéré</v>
      </c>
      <c r="AA69" s="1" t="str">
        <v>Docteur DAFF</v>
      </c>
      <c r="AB69" s="37" t="str" cm="1">
        <f t="array" ref="AB69">IFERROR(_xlfn._xlws.FILTER(C69,F69="Combine Harvester"),"")</f>
        <v/>
      </c>
      <c r="AE69" s="41" t="s">
        <v>338</v>
      </c>
      <c r="AF69" s="40" t="str">
        <f t="shared" si="2"/>
        <v>Private</v>
      </c>
      <c r="AG69" s="13"/>
      <c r="AH69" s="13"/>
    </row>
    <row r="70" spans="1:34" ht="24">
      <c r="A70" s="52">
        <v>34</v>
      </c>
      <c r="B70" s="46" t="s">
        <v>3</v>
      </c>
      <c r="C70" s="56" t="s">
        <v>188</v>
      </c>
      <c r="D70" s="55" t="s">
        <v>236</v>
      </c>
      <c r="E70" s="46" t="s">
        <v>275</v>
      </c>
      <c r="F70" s="46"/>
      <c r="G70" s="57" t="s">
        <v>154</v>
      </c>
      <c r="H70" s="57" t="s">
        <v>297</v>
      </c>
      <c r="I70" s="58" t="s">
        <v>189</v>
      </c>
      <c r="J70" s="55" t="s">
        <v>190</v>
      </c>
      <c r="K70" s="48" t="s">
        <v>22</v>
      </c>
      <c r="L70" s="48"/>
      <c r="M70" s="48"/>
      <c r="N70" s="48">
        <v>125</v>
      </c>
      <c r="O70" s="49" t="s">
        <v>277</v>
      </c>
      <c r="P70" s="48">
        <v>2015</v>
      </c>
      <c r="Q70" s="48" t="s">
        <v>10</v>
      </c>
      <c r="R70" s="49" t="s">
        <v>279</v>
      </c>
      <c r="S70" s="48"/>
      <c r="T70" s="48"/>
      <c r="U70" s="48"/>
      <c r="V70" s="48"/>
      <c r="W70" s="49"/>
      <c r="X70" s="48"/>
      <c r="Z70" s="37" t="str" cm="1">
        <f t="array" ref="Z70">IFERROR(_xlfn._xlws.FILTER(C70,E70="Tractor"),"")</f>
        <v>Union Kawral Rémobé 
Nguénar</v>
      </c>
      <c r="AA70" s="1" t="str">
        <v>Samba DIENG</v>
      </c>
      <c r="AB70" s="37" t="str" cm="1">
        <f t="array" ref="AB70">IFERROR(_xlfn._xlws.FILTER(C70,F70="Combine Harvester"),"")</f>
        <v/>
      </c>
      <c r="AE70" s="41" t="s">
        <v>339</v>
      </c>
      <c r="AF70" s="40" t="str">
        <f t="shared" si="2"/>
        <v>Private</v>
      </c>
      <c r="AG70" s="13"/>
      <c r="AH70" s="13"/>
    </row>
    <row r="71" spans="1:34">
      <c r="A71" s="45">
        <v>35</v>
      </c>
      <c r="B71" s="46" t="s">
        <v>14</v>
      </c>
      <c r="C71" s="56" t="s">
        <v>86</v>
      </c>
      <c r="D71" s="56" t="s">
        <v>32</v>
      </c>
      <c r="E71" s="46" t="s">
        <v>275</v>
      </c>
      <c r="F71" s="46"/>
      <c r="G71" s="57" t="s">
        <v>55</v>
      </c>
      <c r="H71" s="13" t="s">
        <v>303</v>
      </c>
      <c r="I71" s="58" t="s">
        <v>85</v>
      </c>
      <c r="J71" s="55" t="s">
        <v>88</v>
      </c>
      <c r="K71" s="48" t="s">
        <v>22</v>
      </c>
      <c r="L71" s="48"/>
      <c r="M71" s="48"/>
      <c r="N71" s="48">
        <v>125</v>
      </c>
      <c r="O71" s="49" t="s">
        <v>281</v>
      </c>
      <c r="P71" s="48">
        <v>2017</v>
      </c>
      <c r="Q71" s="48" t="s">
        <v>10</v>
      </c>
      <c r="R71" s="49" t="s">
        <v>277</v>
      </c>
      <c r="S71" s="48">
        <v>2017</v>
      </c>
      <c r="T71" s="50"/>
      <c r="U71" s="50"/>
      <c r="V71" s="50"/>
      <c r="W71" s="51"/>
      <c r="X71" s="50"/>
      <c r="Z71" s="37" t="str" cm="1">
        <f t="array" ref="Z71">IFERROR(_xlfn._xlws.FILTER(C71,E71="Tractor"),"")</f>
        <v>Union Orkadiéré</v>
      </c>
      <c r="AA71" s="1" t="str">
        <v>BARRO</v>
      </c>
      <c r="AB71" s="37" t="str" cm="1">
        <f t="array" ref="AB71">IFERROR(_xlfn._xlws.FILTER(C71,F71="Combine Harvester"),"")</f>
        <v/>
      </c>
      <c r="AE71" s="41" t="s">
        <v>340</v>
      </c>
      <c r="AF71" s="40" t="str">
        <f t="shared" si="2"/>
        <v>Private</v>
      </c>
      <c r="AG71" s="13"/>
      <c r="AH71" s="13"/>
    </row>
    <row r="72" spans="1:34" ht="24">
      <c r="A72" s="52">
        <v>35</v>
      </c>
      <c r="B72" s="46" t="s">
        <v>23</v>
      </c>
      <c r="C72" s="58" t="s">
        <v>191</v>
      </c>
      <c r="D72" s="55" t="s">
        <v>236</v>
      </c>
      <c r="E72" s="46" t="s">
        <v>275</v>
      </c>
      <c r="F72" s="46" t="s">
        <v>276</v>
      </c>
      <c r="G72" s="55" t="s">
        <v>165</v>
      </c>
      <c r="H72" s="57" t="s">
        <v>208</v>
      </c>
      <c r="I72" s="58" t="s">
        <v>192</v>
      </c>
      <c r="J72" s="55">
        <v>776391268</v>
      </c>
      <c r="K72" s="48" t="s">
        <v>9</v>
      </c>
      <c r="L72" s="48"/>
      <c r="M72" s="48"/>
      <c r="N72" s="48">
        <v>100</v>
      </c>
      <c r="O72" s="49" t="s">
        <v>277</v>
      </c>
      <c r="P72" s="48">
        <v>2019</v>
      </c>
      <c r="Q72" s="48" t="s">
        <v>10</v>
      </c>
      <c r="R72" s="49" t="s">
        <v>277</v>
      </c>
      <c r="S72" s="48">
        <v>2019</v>
      </c>
      <c r="T72" s="48"/>
      <c r="U72" s="48"/>
      <c r="V72" s="48" t="s">
        <v>53</v>
      </c>
      <c r="W72" s="49" t="s">
        <v>281</v>
      </c>
      <c r="X72" s="48">
        <v>2018</v>
      </c>
      <c r="Z72" s="37" t="str" cm="1">
        <f t="array" ref="Z72">IFERROR(_xlfn._xlws.FILTER(C72,E72="Tractor"),"")</f>
        <v>Union Régionale des Interprofessionnels de Semences (URIS)</v>
      </c>
      <c r="AA72" s="1" t="str">
        <v>Mamel DEME</v>
      </c>
      <c r="AB72" s="37" t="str" cm="1">
        <f t="array" ref="AB72">IFERROR(_xlfn._xlws.FILTER(C72,F72="Combine Harvester"),"")</f>
        <v>Union Régionale des Interprofessionnels de Semences (URIS)</v>
      </c>
      <c r="AE72" s="41" t="s">
        <v>341</v>
      </c>
      <c r="AF72" s="40" t="str">
        <f t="shared" si="2"/>
        <v>Private</v>
      </c>
      <c r="AG72" s="13"/>
      <c r="AH72" s="13"/>
    </row>
    <row r="73" spans="1:34">
      <c r="A73" s="53">
        <v>36</v>
      </c>
      <c r="B73" s="46" t="s">
        <v>14</v>
      </c>
      <c r="C73" s="66" t="s">
        <v>33</v>
      </c>
      <c r="D73" s="56" t="s">
        <v>235</v>
      </c>
      <c r="E73" s="46" t="s">
        <v>275</v>
      </c>
      <c r="F73" s="46"/>
      <c r="G73" s="67" t="s">
        <v>25</v>
      </c>
      <c r="H73" s="60" t="s">
        <v>302</v>
      </c>
      <c r="I73" s="66" t="s">
        <v>33</v>
      </c>
      <c r="J73" s="68" t="s">
        <v>34</v>
      </c>
      <c r="K73" s="48" t="s">
        <v>29</v>
      </c>
      <c r="L73" s="48"/>
      <c r="M73" s="48"/>
      <c r="N73" s="48" t="s">
        <v>30</v>
      </c>
      <c r="O73" s="49" t="s">
        <v>277</v>
      </c>
      <c r="P73" s="48">
        <v>2016</v>
      </c>
      <c r="Q73" s="48" t="s">
        <v>10</v>
      </c>
      <c r="R73" s="49" t="s">
        <v>278</v>
      </c>
      <c r="S73" s="48" t="s">
        <v>278</v>
      </c>
      <c r="T73" s="50"/>
      <c r="U73" s="50"/>
      <c r="V73" s="50"/>
      <c r="W73" s="51"/>
      <c r="X73" s="50"/>
      <c r="Z73" s="37" t="str" cm="1">
        <f t="array" ref="Z73">IFERROR(_xlfn._xlws.FILTER(C73,E73="Tractor"),"")</f>
        <v>Abdoulaye KANE</v>
      </c>
      <c r="AA73" s="1" t="str">
        <v>Oumar Aguibou SOW</v>
      </c>
      <c r="AB73" s="37" t="str" cm="1">
        <f t="array" ref="AB73">IFERROR(_xlfn._xlws.FILTER(C73,F73="Combine Harvester"),"")</f>
        <v/>
      </c>
      <c r="AE73" s="41" t="s">
        <v>342</v>
      </c>
      <c r="AF73" s="40" t="str">
        <f t="shared" si="2"/>
        <v>Private</v>
      </c>
      <c r="AG73" s="13"/>
      <c r="AH73" s="13"/>
    </row>
    <row r="74" spans="1:34" ht="29">
      <c r="A74" s="52">
        <v>36</v>
      </c>
      <c r="B74" s="46" t="s">
        <v>23</v>
      </c>
      <c r="C74" s="58" t="s">
        <v>191</v>
      </c>
      <c r="D74" s="55" t="s">
        <v>236</v>
      </c>
      <c r="E74" s="46" t="s">
        <v>275</v>
      </c>
      <c r="F74" s="46"/>
      <c r="G74" s="55" t="s">
        <v>165</v>
      </c>
      <c r="H74" s="55" t="s">
        <v>208</v>
      </c>
      <c r="I74" s="58" t="s">
        <v>192</v>
      </c>
      <c r="J74" s="55">
        <v>776391269</v>
      </c>
      <c r="K74" s="48" t="s">
        <v>22</v>
      </c>
      <c r="L74" s="48"/>
      <c r="M74" s="48"/>
      <c r="N74" s="48">
        <v>125</v>
      </c>
      <c r="O74" s="49" t="s">
        <v>277</v>
      </c>
      <c r="P74" s="48">
        <v>2015</v>
      </c>
      <c r="Q74" s="48" t="s">
        <v>10</v>
      </c>
      <c r="R74" s="49" t="s">
        <v>277</v>
      </c>
      <c r="S74" s="48">
        <v>2015</v>
      </c>
      <c r="T74" s="48"/>
      <c r="U74" s="48"/>
      <c r="V74" s="48"/>
      <c r="W74" s="49"/>
      <c r="X74" s="48"/>
      <c r="Z74" s="37" t="str" cm="1">
        <f t="array" ref="Z74">IFERROR(_xlfn._xlws.FILTER(C74,E74="Tractor"),"")</f>
        <v>Union Régionale des Interprofessionnels de Semences (URIS)</v>
      </c>
      <c r="AA74" s="1" t="str">
        <v>Moussa BEYTA</v>
      </c>
      <c r="AB74" s="37" t="str" cm="1">
        <f t="array" ref="AB74">IFERROR(_xlfn._xlws.FILTER(C74,F74="Combine Harvester"),"")</f>
        <v/>
      </c>
      <c r="AE74" s="41" t="s">
        <v>343</v>
      </c>
      <c r="AF74" s="40" t="str">
        <f t="shared" si="2"/>
        <v>Union</v>
      </c>
      <c r="AG74" s="13"/>
      <c r="AH74" s="13"/>
    </row>
    <row r="75" spans="1:34">
      <c r="A75" s="45">
        <v>37</v>
      </c>
      <c r="B75" s="46" t="s">
        <v>14</v>
      </c>
      <c r="C75" s="66" t="s">
        <v>33</v>
      </c>
      <c r="D75" s="56" t="s">
        <v>235</v>
      </c>
      <c r="E75" s="46" t="s">
        <v>275</v>
      </c>
      <c r="F75" s="46"/>
      <c r="G75" s="67" t="s">
        <v>25</v>
      </c>
      <c r="H75" s="60" t="s">
        <v>302</v>
      </c>
      <c r="I75" s="66" t="s">
        <v>33</v>
      </c>
      <c r="J75" s="68" t="s">
        <v>34</v>
      </c>
      <c r="K75" s="48" t="s">
        <v>22</v>
      </c>
      <c r="L75" s="48"/>
      <c r="M75" s="48"/>
      <c r="N75" s="48">
        <v>125</v>
      </c>
      <c r="O75" s="49" t="s">
        <v>277</v>
      </c>
      <c r="P75" s="48">
        <v>2016</v>
      </c>
      <c r="Q75" s="48" t="s">
        <v>104</v>
      </c>
      <c r="R75" s="49" t="s">
        <v>278</v>
      </c>
      <c r="S75" s="48" t="s">
        <v>278</v>
      </c>
      <c r="T75" s="50"/>
      <c r="U75" s="50"/>
      <c r="V75" s="50"/>
      <c r="W75" s="51"/>
      <c r="X75" s="50"/>
      <c r="Z75" s="37" t="str" cm="1">
        <f t="array" ref="Z75">IFERROR(_xlfn._xlws.FILTER(C75,E75="Tractor"),"")</f>
        <v>Abdoulaye KANE</v>
      </c>
      <c r="AA75" s="1" t="str">
        <v>Harouna</v>
      </c>
      <c r="AB75" s="37" t="str" cm="1">
        <f t="array" ref="AB75">IFERROR(_xlfn._xlws.FILTER(C75,F75="Combine Harvester"),"")</f>
        <v/>
      </c>
      <c r="AE75" s="41" t="s">
        <v>157</v>
      </c>
      <c r="AF75" s="40" t="str">
        <f t="shared" si="2"/>
        <v>Union</v>
      </c>
      <c r="AG75" s="13"/>
      <c r="AH75" s="13"/>
    </row>
    <row r="76" spans="1:34">
      <c r="A76" s="52">
        <v>37</v>
      </c>
      <c r="B76" s="46" t="s">
        <v>23</v>
      </c>
      <c r="C76" s="66" t="s">
        <v>193</v>
      </c>
      <c r="D76" s="55" t="s">
        <v>236</v>
      </c>
      <c r="E76" s="46" t="s">
        <v>275</v>
      </c>
      <c r="F76" s="46" t="s">
        <v>276</v>
      </c>
      <c r="G76" s="57" t="s">
        <v>154</v>
      </c>
      <c r="H76" s="57" t="s">
        <v>297</v>
      </c>
      <c r="I76" s="69" t="s">
        <v>194</v>
      </c>
      <c r="J76" s="55">
        <v>783251079</v>
      </c>
      <c r="K76" s="48" t="s">
        <v>9</v>
      </c>
      <c r="L76" s="48"/>
      <c r="M76" s="48"/>
      <c r="N76" s="48">
        <v>100</v>
      </c>
      <c r="O76" s="49" t="s">
        <v>277</v>
      </c>
      <c r="P76" s="48">
        <v>2019</v>
      </c>
      <c r="Q76" s="48" t="s">
        <v>10</v>
      </c>
      <c r="R76" s="49" t="s">
        <v>277</v>
      </c>
      <c r="S76" s="48">
        <v>2019</v>
      </c>
      <c r="T76" s="48"/>
      <c r="U76" s="48"/>
      <c r="V76" s="48"/>
      <c r="W76" s="49" t="s">
        <v>277</v>
      </c>
      <c r="X76" s="48" t="s">
        <v>279</v>
      </c>
      <c r="Z76" s="37" t="str" cm="1">
        <f t="array" ref="Z76">IFERROR(_xlfn._xlws.FILTER(C76,E76="Tractor"),"")</f>
        <v>Makhana Diéri</v>
      </c>
      <c r="AB76" s="37" t="str" cm="1">
        <f t="array" ref="AB76">IFERROR(_xlfn._xlws.FILTER(C76,F76="Combine Harvester"),"")</f>
        <v>Makhana Diéri</v>
      </c>
    </row>
    <row r="77" spans="1:34">
      <c r="A77" s="53">
        <v>38</v>
      </c>
      <c r="B77" s="46" t="s">
        <v>14</v>
      </c>
      <c r="C77" s="66" t="s">
        <v>89</v>
      </c>
      <c r="D77" s="56" t="s">
        <v>235</v>
      </c>
      <c r="E77" s="46" t="s">
        <v>275</v>
      </c>
      <c r="F77" s="46"/>
      <c r="G77" s="67" t="s">
        <v>21</v>
      </c>
      <c r="H77" s="60" t="s">
        <v>302</v>
      </c>
      <c r="I77" s="69" t="s">
        <v>89</v>
      </c>
      <c r="J77" s="68" t="s">
        <v>90</v>
      </c>
      <c r="K77" s="48" t="s">
        <v>53</v>
      </c>
      <c r="L77" s="48"/>
      <c r="M77" s="48"/>
      <c r="N77" s="48"/>
      <c r="O77" s="49" t="s">
        <v>277</v>
      </c>
      <c r="P77" s="48">
        <v>2017</v>
      </c>
      <c r="Q77" s="48" t="s">
        <v>10</v>
      </c>
      <c r="R77" s="49" t="s">
        <v>277</v>
      </c>
      <c r="S77" s="48">
        <v>2017</v>
      </c>
      <c r="T77" s="50"/>
      <c r="U77" s="50"/>
      <c r="V77" s="50"/>
      <c r="W77" s="51"/>
      <c r="X77" s="50"/>
      <c r="Z77" s="37" t="str" cm="1">
        <f t="array" ref="Z77">IFERROR(_xlfn._xlws.FILTER(C77,E77="Tractor"),"")</f>
        <v>Amadou KANE</v>
      </c>
      <c r="AB77" s="37" t="str" cm="1">
        <f t="array" ref="AB77">IFERROR(_xlfn._xlws.FILTER(C77,F77="Combine Harvester"),"")</f>
        <v/>
      </c>
      <c r="AE77" s="42" t="s">
        <v>344</v>
      </c>
      <c r="AF77" s="42">
        <f>COUNTIF($AF$3:$AF$75,AE77)</f>
        <v>14</v>
      </c>
      <c r="AG77" s="42" t="s">
        <v>344</v>
      </c>
      <c r="AH77" s="42">
        <f>COUNTIF($AH$3:$AH$75,AG77)</f>
        <v>4</v>
      </c>
    </row>
    <row r="78" spans="1:34">
      <c r="A78" s="52">
        <v>38</v>
      </c>
      <c r="B78" s="46" t="s">
        <v>23</v>
      </c>
      <c r="C78" s="66" t="s">
        <v>195</v>
      </c>
      <c r="D78" s="55" t="s">
        <v>236</v>
      </c>
      <c r="E78" s="46" t="s">
        <v>275</v>
      </c>
      <c r="F78" s="46"/>
      <c r="G78" s="57" t="s">
        <v>154</v>
      </c>
      <c r="H78" s="57" t="s">
        <v>297</v>
      </c>
      <c r="I78" s="66" t="s">
        <v>195</v>
      </c>
      <c r="J78" s="55">
        <v>775630834</v>
      </c>
      <c r="K78" s="49" t="s">
        <v>9</v>
      </c>
      <c r="L78" s="49"/>
      <c r="M78" s="49"/>
      <c r="N78" s="49" t="s">
        <v>30</v>
      </c>
      <c r="O78" s="49" t="s">
        <v>277</v>
      </c>
      <c r="P78" s="49">
        <v>2019</v>
      </c>
      <c r="Q78" s="49" t="s">
        <v>10</v>
      </c>
      <c r="R78" s="49" t="s">
        <v>277</v>
      </c>
      <c r="S78" s="49">
        <v>2019</v>
      </c>
      <c r="T78" s="48"/>
      <c r="U78" s="48"/>
      <c r="V78" s="48"/>
      <c r="W78" s="49"/>
      <c r="X78" s="49"/>
      <c r="Z78" s="37" t="str" cm="1">
        <f t="array" ref="Z78">IFERROR(_xlfn._xlws.FILTER(C78,E78="Tractor"),"")</f>
        <v>Mouhamed WAGUE</v>
      </c>
      <c r="AB78" s="37" t="str" cm="1">
        <f t="array" ref="AB78">IFERROR(_xlfn._xlws.FILTER(C78,F78="Combine Harvester"),"")</f>
        <v/>
      </c>
      <c r="AE78" s="42" t="s">
        <v>345</v>
      </c>
      <c r="AF78" s="42">
        <f>COUNTIF($AF$3:$AF$75,AE78)</f>
        <v>59</v>
      </c>
      <c r="AG78" s="42" t="s">
        <v>345</v>
      </c>
      <c r="AH78" s="42">
        <f>COUNTIF($AH$3:$AH$75,AG78)</f>
        <v>4</v>
      </c>
    </row>
    <row r="79" spans="1:34">
      <c r="A79" s="45">
        <v>39</v>
      </c>
      <c r="B79" s="46" t="s">
        <v>14</v>
      </c>
      <c r="C79" s="66" t="s">
        <v>89</v>
      </c>
      <c r="D79" s="56" t="s">
        <v>235</v>
      </c>
      <c r="E79" s="46" t="s">
        <v>275</v>
      </c>
      <c r="F79" s="46"/>
      <c r="G79" s="67" t="s">
        <v>21</v>
      </c>
      <c r="H79" s="60" t="s">
        <v>302</v>
      </c>
      <c r="I79" s="69" t="s">
        <v>89</v>
      </c>
      <c r="J79" s="68" t="s">
        <v>90</v>
      </c>
      <c r="K79" s="49" t="s">
        <v>53</v>
      </c>
      <c r="L79" s="48"/>
      <c r="M79" s="48"/>
      <c r="N79" s="70"/>
      <c r="O79" s="49" t="s">
        <v>277</v>
      </c>
      <c r="P79" s="49">
        <v>2017</v>
      </c>
      <c r="Q79" s="48" t="s">
        <v>10</v>
      </c>
      <c r="R79" s="49" t="s">
        <v>277</v>
      </c>
      <c r="S79" s="49">
        <v>2017</v>
      </c>
      <c r="T79" s="71"/>
      <c r="U79" s="71"/>
      <c r="V79" s="71"/>
      <c r="W79" s="71"/>
      <c r="X79" s="71"/>
      <c r="Z79" s="37" t="str" cm="1">
        <f t="array" ref="Z79">IFERROR(_xlfn._xlws.FILTER(C79,E79="Tractor"),"")</f>
        <v>Amadou KANE</v>
      </c>
      <c r="AB79" s="37" t="str" cm="1">
        <f t="array" ref="AB79">IFERROR(_xlfn._xlws.FILTER(C79,F79="Combine Harvester"),"")</f>
        <v/>
      </c>
    </row>
    <row r="80" spans="1:34">
      <c r="A80" s="52">
        <v>39</v>
      </c>
      <c r="B80" s="46" t="s">
        <v>23</v>
      </c>
      <c r="C80" s="66" t="s">
        <v>196</v>
      </c>
      <c r="D80" s="55" t="s">
        <v>236</v>
      </c>
      <c r="E80" s="46" t="s">
        <v>275</v>
      </c>
      <c r="F80" s="46"/>
      <c r="G80" s="67" t="s">
        <v>132</v>
      </c>
      <c r="H80" s="57" t="s">
        <v>298</v>
      </c>
      <c r="I80" s="69" t="s">
        <v>197</v>
      </c>
      <c r="J80" s="55">
        <v>775604264</v>
      </c>
      <c r="K80" s="48" t="s">
        <v>22</v>
      </c>
      <c r="L80" s="48"/>
      <c r="M80" s="48"/>
      <c r="N80" s="48">
        <v>125</v>
      </c>
      <c r="O80" s="49" t="s">
        <v>277</v>
      </c>
      <c r="P80" s="48">
        <v>2019</v>
      </c>
      <c r="Q80" s="48" t="s">
        <v>10</v>
      </c>
      <c r="R80" s="49" t="s">
        <v>277</v>
      </c>
      <c r="S80" s="48">
        <v>2019</v>
      </c>
      <c r="T80" s="49"/>
      <c r="U80" s="49"/>
      <c r="V80" s="49"/>
      <c r="W80" s="49"/>
      <c r="X80" s="49"/>
      <c r="Z80" s="37" t="str" cm="1">
        <f t="array" ref="Z80">IFERROR(_xlfn._xlws.FILTER(C80,E80="Tractor"),"")</f>
        <v>Yaya Abdoul KANE</v>
      </c>
      <c r="AB80" s="37" t="str" cm="1">
        <f t="array" ref="AB80">IFERROR(_xlfn._xlws.FILTER(C80,F80="Combine Harvester"),"")</f>
        <v/>
      </c>
    </row>
    <row r="81" spans="1:28">
      <c r="A81" s="53">
        <v>40</v>
      </c>
      <c r="B81" s="46" t="s">
        <v>14</v>
      </c>
      <c r="C81" s="72" t="s">
        <v>91</v>
      </c>
      <c r="D81" s="56" t="s">
        <v>235</v>
      </c>
      <c r="E81" s="46" t="s">
        <v>275</v>
      </c>
      <c r="F81" s="46"/>
      <c r="G81" s="55" t="s">
        <v>55</v>
      </c>
      <c r="H81" s="13" t="s">
        <v>303</v>
      </c>
      <c r="I81" s="58" t="s">
        <v>92</v>
      </c>
      <c r="J81" s="55" t="s">
        <v>93</v>
      </c>
      <c r="K81" s="48" t="s">
        <v>9</v>
      </c>
      <c r="L81" s="48"/>
      <c r="M81" s="48"/>
      <c r="N81" s="73">
        <v>100</v>
      </c>
      <c r="O81" s="73" t="s">
        <v>277</v>
      </c>
      <c r="P81" s="48" t="s">
        <v>278</v>
      </c>
      <c r="Q81" s="70"/>
      <c r="R81" s="49" t="s">
        <v>278</v>
      </c>
      <c r="S81" s="48" t="s">
        <v>278</v>
      </c>
      <c r="T81" s="71"/>
      <c r="U81" s="71"/>
      <c r="V81" s="71"/>
      <c r="W81" s="71"/>
      <c r="X81" s="71"/>
      <c r="Z81" s="37" t="str" cm="1">
        <f t="array" ref="Z81">IFERROR(_xlfn._xlws.FILTER(C81,E81="Tractor"),"")</f>
        <v>Famille Mbégnouga</v>
      </c>
      <c r="AB81" s="37" t="str" cm="1">
        <f t="array" ref="AB81">IFERROR(_xlfn._xlws.FILTER(C81,F81="Combine Harvester"),"")</f>
        <v/>
      </c>
    </row>
    <row r="82" spans="1:28">
      <c r="A82" s="52">
        <v>40</v>
      </c>
      <c r="B82" s="46" t="s">
        <v>23</v>
      </c>
      <c r="C82" s="66" t="s">
        <v>198</v>
      </c>
      <c r="D82" s="55" t="s">
        <v>236</v>
      </c>
      <c r="E82" s="46" t="s">
        <v>275</v>
      </c>
      <c r="F82" s="46"/>
      <c r="G82" s="57" t="s">
        <v>306</v>
      </c>
      <c r="H82" s="57" t="s">
        <v>208</v>
      </c>
      <c r="I82" s="66" t="s">
        <v>198</v>
      </c>
      <c r="J82" s="55">
        <v>775712977</v>
      </c>
      <c r="K82" s="48"/>
      <c r="L82" s="48"/>
      <c r="M82" s="48"/>
      <c r="N82" s="49"/>
      <c r="O82" s="49" t="s">
        <v>279</v>
      </c>
      <c r="P82" s="49" t="s">
        <v>278</v>
      </c>
      <c r="Q82" s="49"/>
      <c r="R82" s="49"/>
      <c r="S82" s="49"/>
      <c r="T82" s="49"/>
      <c r="U82" s="49"/>
      <c r="V82" s="49"/>
      <c r="W82" s="49"/>
      <c r="X82" s="49"/>
      <c r="Z82" s="37" t="str" cm="1">
        <f t="array" ref="Z82">IFERROR(_xlfn._xlws.FILTER(C82,E82="Tractor"),"")</f>
        <v>Demba Gatta THIOUB</v>
      </c>
      <c r="AB82" s="37" t="str" cm="1">
        <f t="array" ref="AB82">IFERROR(_xlfn._xlws.FILTER(C82,F82="Combine Harvester"),"")</f>
        <v/>
      </c>
    </row>
    <row r="83" spans="1:28">
      <c r="A83" s="45">
        <v>41</v>
      </c>
      <c r="B83" s="46" t="s">
        <v>14</v>
      </c>
      <c r="C83" s="72" t="s">
        <v>94</v>
      </c>
      <c r="D83" s="56" t="s">
        <v>235</v>
      </c>
      <c r="E83" s="46" t="s">
        <v>275</v>
      </c>
      <c r="F83" s="46"/>
      <c r="G83" s="55" t="s">
        <v>55</v>
      </c>
      <c r="H83" s="13" t="s">
        <v>303</v>
      </c>
      <c r="I83" s="58" t="s">
        <v>94</v>
      </c>
      <c r="J83" s="55" t="s">
        <v>211</v>
      </c>
      <c r="K83" s="73" t="s">
        <v>9</v>
      </c>
      <c r="L83" s="73"/>
      <c r="M83" s="73"/>
      <c r="N83" s="73" t="s">
        <v>30</v>
      </c>
      <c r="O83" s="73" t="s">
        <v>277</v>
      </c>
      <c r="P83" s="49" t="s">
        <v>278</v>
      </c>
      <c r="Q83" s="73"/>
      <c r="R83" s="49" t="s">
        <v>278</v>
      </c>
      <c r="S83" s="49" t="s">
        <v>278</v>
      </c>
      <c r="T83" s="71"/>
      <c r="U83" s="71"/>
      <c r="V83" s="71"/>
      <c r="W83" s="71"/>
      <c r="X83" s="71"/>
      <c r="Z83" s="37" t="str" cm="1">
        <f t="array" ref="Z83">IFERROR(_xlfn._xlws.FILTER(C83,E83="Tractor"),"")</f>
        <v>Thierno Abdoul BA</v>
      </c>
      <c r="AB83" s="37" t="str" cm="1">
        <f t="array" ref="AB83">IFERROR(_xlfn._xlws.FILTER(C83,F83="Combine Harvester"),"")</f>
        <v/>
      </c>
    </row>
    <row r="84" spans="1:28">
      <c r="A84" s="53">
        <v>42</v>
      </c>
      <c r="B84" s="46" t="s">
        <v>14</v>
      </c>
      <c r="C84" s="72" t="s">
        <v>95</v>
      </c>
      <c r="D84" s="56" t="s">
        <v>235</v>
      </c>
      <c r="E84" s="46" t="s">
        <v>275</v>
      </c>
      <c r="F84" s="46"/>
      <c r="G84" s="55" t="s">
        <v>78</v>
      </c>
      <c r="H84" s="13" t="s">
        <v>301</v>
      </c>
      <c r="I84" s="58" t="s">
        <v>96</v>
      </c>
      <c r="J84" s="55" t="s">
        <v>97</v>
      </c>
      <c r="K84" s="48" t="s">
        <v>9</v>
      </c>
      <c r="L84" s="48"/>
      <c r="M84" s="48"/>
      <c r="N84" s="73">
        <v>100</v>
      </c>
      <c r="O84" s="73" t="s">
        <v>279</v>
      </c>
      <c r="P84" s="49" t="s">
        <v>278</v>
      </c>
      <c r="Q84" s="73"/>
      <c r="R84" s="49" t="s">
        <v>278</v>
      </c>
      <c r="S84" s="49" t="s">
        <v>278</v>
      </c>
      <c r="T84" s="71"/>
      <c r="U84" s="71"/>
      <c r="V84" s="71"/>
      <c r="W84" s="71"/>
      <c r="X84" s="71"/>
      <c r="Z84" s="37" t="str" cm="1">
        <f t="array" ref="Z84">IFERROR(_xlfn._xlws.FILTER(C84,E84="Tractor"),"")</f>
        <v>DIENG et Fammile</v>
      </c>
      <c r="AB84" s="37" t="str" cm="1">
        <f t="array" ref="AB84">IFERROR(_xlfn._xlws.FILTER(C84,F84="Combine Harvester"),"")</f>
        <v/>
      </c>
    </row>
    <row r="85" spans="1:28">
      <c r="A85" s="53">
        <v>44</v>
      </c>
      <c r="B85" s="46" t="s">
        <v>14</v>
      </c>
      <c r="C85" s="72" t="s">
        <v>99</v>
      </c>
      <c r="D85" s="56" t="s">
        <v>235</v>
      </c>
      <c r="E85" s="46" t="s">
        <v>275</v>
      </c>
      <c r="F85" s="46"/>
      <c r="G85" s="55" t="s">
        <v>98</v>
      </c>
      <c r="H85" s="13" t="s">
        <v>301</v>
      </c>
      <c r="I85" s="58" t="s">
        <v>99</v>
      </c>
      <c r="J85" s="55" t="s">
        <v>210</v>
      </c>
      <c r="K85" s="73" t="s">
        <v>22</v>
      </c>
      <c r="L85" s="73"/>
      <c r="M85" s="73"/>
      <c r="N85" s="73">
        <v>125</v>
      </c>
      <c r="O85" s="73" t="s">
        <v>279</v>
      </c>
      <c r="P85" s="49" t="s">
        <v>278</v>
      </c>
      <c r="Q85" s="73"/>
      <c r="R85" s="49" t="s">
        <v>278</v>
      </c>
      <c r="S85" s="49" t="s">
        <v>278</v>
      </c>
      <c r="T85" s="71"/>
      <c r="U85" s="71"/>
      <c r="V85" s="71"/>
      <c r="W85" s="71"/>
      <c r="X85" s="71"/>
      <c r="Z85" s="37" t="str" cm="1">
        <f t="array" ref="Z85">IFERROR(_xlfn._xlws.FILTER(C85,E85="Tractor"),"")</f>
        <v>Samba KANE</v>
      </c>
      <c r="AB85" s="37" t="str" cm="1">
        <f t="array" ref="AB85">IFERROR(_xlfn._xlws.FILTER(C85,F85="Combine Harvester"),"")</f>
        <v/>
      </c>
    </row>
    <row r="86" spans="1:28">
      <c r="A86" s="45">
        <v>45</v>
      </c>
      <c r="B86" s="46" t="s">
        <v>14</v>
      </c>
      <c r="C86" s="72" t="s">
        <v>100</v>
      </c>
      <c r="D86" s="56" t="s">
        <v>235</v>
      </c>
      <c r="E86" s="46" t="s">
        <v>275</v>
      </c>
      <c r="F86" s="46"/>
      <c r="G86" s="55" t="s">
        <v>76</v>
      </c>
      <c r="H86" s="60" t="s">
        <v>302</v>
      </c>
      <c r="I86" s="58" t="s">
        <v>100</v>
      </c>
      <c r="J86" s="55" t="s">
        <v>212</v>
      </c>
      <c r="K86" s="48" t="s">
        <v>9</v>
      </c>
      <c r="L86" s="48"/>
      <c r="M86" s="48"/>
      <c r="N86" s="73">
        <v>100</v>
      </c>
      <c r="O86" s="73" t="s">
        <v>277</v>
      </c>
      <c r="P86" s="49" t="s">
        <v>278</v>
      </c>
      <c r="Q86" s="73"/>
      <c r="R86" s="49" t="s">
        <v>278</v>
      </c>
      <c r="S86" s="49" t="s">
        <v>278</v>
      </c>
      <c r="T86" s="71"/>
      <c r="U86" s="71"/>
      <c r="V86" s="71"/>
      <c r="W86" s="71"/>
      <c r="X86" s="71"/>
      <c r="Z86" s="37" t="str" cm="1">
        <f t="array" ref="Z86">IFERROR(_xlfn._xlws.FILTER(C86,E86="Tractor"),"")</f>
        <v>Talla</v>
      </c>
      <c r="AB86" s="37" t="str" cm="1">
        <f t="array" ref="AB86">IFERROR(_xlfn._xlws.FILTER(C86,F86="Combine Harvester"),"")</f>
        <v/>
      </c>
    </row>
    <row r="87" spans="1:28">
      <c r="A87" s="53">
        <v>46</v>
      </c>
      <c r="B87" s="46" t="s">
        <v>14</v>
      </c>
      <c r="C87" s="72" t="s">
        <v>101</v>
      </c>
      <c r="D87" s="56" t="s">
        <v>235</v>
      </c>
      <c r="E87" s="46" t="s">
        <v>275</v>
      </c>
      <c r="F87" s="46"/>
      <c r="G87" s="55" t="s">
        <v>76</v>
      </c>
      <c r="H87" s="60" t="s">
        <v>302</v>
      </c>
      <c r="I87" s="58" t="s">
        <v>102</v>
      </c>
      <c r="J87" s="55" t="s">
        <v>213</v>
      </c>
      <c r="K87" s="73" t="s">
        <v>105</v>
      </c>
      <c r="L87" s="73"/>
      <c r="M87" s="73"/>
      <c r="N87" s="73"/>
      <c r="O87" s="73" t="s">
        <v>280</v>
      </c>
      <c r="P87" s="49" t="s">
        <v>278</v>
      </c>
      <c r="Q87" s="73"/>
      <c r="R87" s="49" t="s">
        <v>278</v>
      </c>
      <c r="S87" s="49" t="s">
        <v>278</v>
      </c>
      <c r="T87" s="71"/>
      <c r="U87" s="71"/>
      <c r="V87" s="71"/>
      <c r="W87" s="71"/>
      <c r="X87" s="71"/>
      <c r="Z87" s="37" t="str" cm="1">
        <f t="array" ref="Z87">IFERROR(_xlfn._xlws.FILTER(C87,E87="Tractor"),"")</f>
        <v>Mamadou TALL</v>
      </c>
      <c r="AB87" s="37" t="str" cm="1">
        <f t="array" ref="AB87">IFERROR(_xlfn._xlws.FILTER(C87,F87="Combine Harvester"),"")</f>
        <v/>
      </c>
    </row>
    <row r="88" spans="1:28">
      <c r="A88" s="45">
        <v>47</v>
      </c>
      <c r="B88" s="55" t="s">
        <v>14</v>
      </c>
      <c r="C88" s="72" t="s">
        <v>103</v>
      </c>
      <c r="D88" s="56" t="s">
        <v>235</v>
      </c>
      <c r="E88" s="46" t="s">
        <v>275</v>
      </c>
      <c r="F88" s="46"/>
      <c r="G88" s="55" t="s">
        <v>76</v>
      </c>
      <c r="H88" s="60" t="s">
        <v>302</v>
      </c>
      <c r="I88" s="55" t="s">
        <v>103</v>
      </c>
      <c r="J88" s="55"/>
      <c r="K88" s="48" t="s">
        <v>9</v>
      </c>
      <c r="L88" s="48"/>
      <c r="M88" s="48"/>
      <c r="N88" s="73">
        <v>100</v>
      </c>
      <c r="O88" s="73" t="s">
        <v>277</v>
      </c>
      <c r="P88" s="49" t="s">
        <v>278</v>
      </c>
      <c r="Q88" s="73"/>
      <c r="R88" s="49" t="s">
        <v>278</v>
      </c>
      <c r="S88" s="49" t="s">
        <v>278</v>
      </c>
      <c r="T88" s="71"/>
      <c r="U88" s="71"/>
      <c r="V88" s="71"/>
      <c r="W88" s="71"/>
      <c r="X88" s="71"/>
      <c r="Z88" s="37" t="str" cm="1">
        <f t="array" ref="Z88">IFERROR(_xlfn._xlws.FILTER(C88,E88="Tractor"),"")</f>
        <v>Docteur DAFF</v>
      </c>
      <c r="AB88" s="37" t="str" cm="1">
        <f t="array" ref="AB88">IFERROR(_xlfn._xlws.FILTER(C88,F88="Combine Harvester"),"")</f>
        <v/>
      </c>
    </row>
    <row r="89" spans="1:28">
      <c r="A89" s="45">
        <v>48</v>
      </c>
      <c r="B89" s="55" t="s">
        <v>14</v>
      </c>
      <c r="C89" s="72" t="s">
        <v>214</v>
      </c>
      <c r="D89" s="56" t="s">
        <v>235</v>
      </c>
      <c r="E89" s="46" t="s">
        <v>275</v>
      </c>
      <c r="F89" s="46"/>
      <c r="G89" s="55" t="s">
        <v>216</v>
      </c>
      <c r="H89" s="13" t="s">
        <v>303</v>
      </c>
      <c r="I89" s="55" t="s">
        <v>214</v>
      </c>
      <c r="J89" s="55" t="s">
        <v>97</v>
      </c>
      <c r="K89" s="13" t="s">
        <v>9</v>
      </c>
      <c r="L89" s="13"/>
      <c r="M89" s="13"/>
      <c r="N89" s="53">
        <v>100</v>
      </c>
      <c r="O89" s="49" t="s">
        <v>277</v>
      </c>
      <c r="P89" s="49" t="s">
        <v>278</v>
      </c>
      <c r="Q89" s="53"/>
      <c r="R89" s="49" t="s">
        <v>278</v>
      </c>
      <c r="S89" s="49" t="s">
        <v>278</v>
      </c>
      <c r="T89" s="53"/>
      <c r="U89" s="53"/>
      <c r="V89" s="53"/>
      <c r="W89" s="53"/>
      <c r="X89" s="53"/>
      <c r="Z89" s="37" t="str" cm="1">
        <f t="array" ref="Z89">IFERROR(_xlfn._xlws.FILTER(C89,E89="Tractor"),"")</f>
        <v>Samba DIENG</v>
      </c>
      <c r="AB89" s="37" t="str" cm="1">
        <f t="array" ref="AB89">IFERROR(_xlfn._xlws.FILTER(C89,F89="Combine Harvester"),"")</f>
        <v/>
      </c>
    </row>
    <row r="90" spans="1:28">
      <c r="A90" s="45">
        <v>49</v>
      </c>
      <c r="B90" s="55" t="s">
        <v>14</v>
      </c>
      <c r="C90" s="72" t="s">
        <v>215</v>
      </c>
      <c r="D90" s="56" t="s">
        <v>235</v>
      </c>
      <c r="E90" s="46" t="s">
        <v>275</v>
      </c>
      <c r="F90" s="46"/>
      <c r="G90" s="55" t="s">
        <v>218</v>
      </c>
      <c r="H90" s="55" t="s">
        <v>304</v>
      </c>
      <c r="I90" s="55" t="s">
        <v>219</v>
      </c>
      <c r="J90" s="55" t="s">
        <v>220</v>
      </c>
      <c r="K90" s="13" t="s">
        <v>217</v>
      </c>
      <c r="L90" s="13"/>
      <c r="M90" s="13"/>
      <c r="N90" s="53"/>
      <c r="O90" s="49" t="s">
        <v>277</v>
      </c>
      <c r="P90" s="49" t="s">
        <v>278</v>
      </c>
      <c r="Q90" s="53"/>
      <c r="R90" s="49" t="s">
        <v>278</v>
      </c>
      <c r="S90" s="49" t="s">
        <v>278</v>
      </c>
      <c r="T90" s="53"/>
      <c r="U90" s="53"/>
      <c r="V90" s="53"/>
      <c r="W90" s="53"/>
      <c r="X90" s="53"/>
      <c r="Z90" s="37" t="str" cm="1">
        <f t="array" ref="Z90">IFERROR(_xlfn._xlws.FILTER(C90,E90="Tractor"),"")</f>
        <v>BARRO</v>
      </c>
      <c r="AB90" s="37" t="str" cm="1">
        <f t="array" ref="AB90">IFERROR(_xlfn._xlws.FILTER(C90,F90="Combine Harvester"),"")</f>
        <v/>
      </c>
    </row>
    <row r="91" spans="1:28">
      <c r="A91" s="45">
        <v>50</v>
      </c>
      <c r="B91" s="55" t="s">
        <v>14</v>
      </c>
      <c r="C91" s="72" t="s">
        <v>221</v>
      </c>
      <c r="D91" s="56" t="s">
        <v>235</v>
      </c>
      <c r="E91" s="46" t="s">
        <v>275</v>
      </c>
      <c r="F91" s="46"/>
      <c r="G91" s="55" t="s">
        <v>222</v>
      </c>
      <c r="H91" s="55" t="s">
        <v>304</v>
      </c>
      <c r="I91" s="55" t="s">
        <v>221</v>
      </c>
      <c r="J91" s="55" t="s">
        <v>225</v>
      </c>
      <c r="K91" s="13" t="s">
        <v>223</v>
      </c>
      <c r="L91" s="13"/>
      <c r="M91" s="13"/>
      <c r="N91" s="53"/>
      <c r="O91" s="49" t="s">
        <v>278</v>
      </c>
      <c r="P91" s="49" t="s">
        <v>278</v>
      </c>
      <c r="Q91" s="53"/>
      <c r="R91" s="49" t="s">
        <v>278</v>
      </c>
      <c r="S91" s="49" t="s">
        <v>278</v>
      </c>
      <c r="T91" s="53"/>
      <c r="U91" s="53"/>
      <c r="V91" s="53"/>
      <c r="W91" s="53"/>
      <c r="X91" s="53"/>
      <c r="Z91" s="37" t="str" cm="1">
        <f t="array" ref="Z91">IFERROR(_xlfn._xlws.FILTER(C91,E91="Tractor"),"")</f>
        <v>Mamel DEME</v>
      </c>
      <c r="AB91" s="37" t="str" cm="1">
        <f t="array" ref="AB91">IFERROR(_xlfn._xlws.FILTER(C91,F91="Combine Harvester"),"")</f>
        <v/>
      </c>
    </row>
    <row r="92" spans="1:28">
      <c r="A92" s="45">
        <v>51</v>
      </c>
      <c r="B92" s="55" t="s">
        <v>14</v>
      </c>
      <c r="C92" s="72" t="s">
        <v>224</v>
      </c>
      <c r="D92" s="56" t="s">
        <v>32</v>
      </c>
      <c r="E92" s="46" t="s">
        <v>275</v>
      </c>
      <c r="F92" s="46"/>
      <c r="G92" s="13" t="s">
        <v>78</v>
      </c>
      <c r="H92" s="13" t="s">
        <v>301</v>
      </c>
      <c r="I92" s="72" t="s">
        <v>224</v>
      </c>
      <c r="J92" s="55" t="s">
        <v>226</v>
      </c>
      <c r="K92" s="13" t="s">
        <v>227</v>
      </c>
      <c r="L92" s="13"/>
      <c r="M92" s="13"/>
      <c r="N92" s="53"/>
      <c r="O92" s="49" t="s">
        <v>278</v>
      </c>
      <c r="P92" s="49" t="s">
        <v>278</v>
      </c>
      <c r="Q92" s="53"/>
      <c r="R92" s="49" t="s">
        <v>278</v>
      </c>
      <c r="S92" s="49" t="s">
        <v>278</v>
      </c>
      <c r="T92" s="53"/>
      <c r="U92" s="53"/>
      <c r="V92" s="53"/>
      <c r="W92" s="53"/>
      <c r="X92" s="53"/>
      <c r="Z92" s="37" t="str" cm="1">
        <f t="array" ref="Z92">IFERROR(_xlfn._xlws.FILTER(C92,E92="Tractor"),"")</f>
        <v>Oumar Aguibou SOW</v>
      </c>
      <c r="AB92" s="37" t="str" cm="1">
        <f t="array" ref="AB92">IFERROR(_xlfn._xlws.FILTER(C92,F92="Combine Harvester"),"")</f>
        <v/>
      </c>
    </row>
    <row r="93" spans="1:28">
      <c r="A93" s="45">
        <v>52</v>
      </c>
      <c r="B93" s="55" t="s">
        <v>14</v>
      </c>
      <c r="C93" s="13" t="s">
        <v>228</v>
      </c>
      <c r="D93" s="56" t="s">
        <v>235</v>
      </c>
      <c r="E93" s="46" t="s">
        <v>275</v>
      </c>
      <c r="F93" s="46"/>
      <c r="G93" s="13" t="s">
        <v>229</v>
      </c>
      <c r="H93" s="60" t="s">
        <v>302</v>
      </c>
      <c r="I93" s="13" t="s">
        <v>228</v>
      </c>
      <c r="J93" s="13" t="s">
        <v>230</v>
      </c>
      <c r="K93" s="13" t="s">
        <v>9</v>
      </c>
      <c r="L93" s="13"/>
      <c r="M93" s="13"/>
      <c r="N93" s="53">
        <v>100</v>
      </c>
      <c r="O93" s="49" t="s">
        <v>277</v>
      </c>
      <c r="P93" s="49" t="s">
        <v>278</v>
      </c>
      <c r="Q93" s="53"/>
      <c r="R93" s="49" t="s">
        <v>278</v>
      </c>
      <c r="S93" s="49" t="s">
        <v>278</v>
      </c>
      <c r="T93" s="53"/>
      <c r="U93" s="53"/>
      <c r="V93" s="53"/>
      <c r="W93" s="53"/>
      <c r="X93" s="53"/>
      <c r="Z93" s="37" t="str" cm="1">
        <f t="array" ref="Z93">IFERROR(_xlfn._xlws.FILTER(C93,E93="Tractor"),"")</f>
        <v>Moussa BEYTA</v>
      </c>
      <c r="AB93" s="37" t="str" cm="1">
        <f t="array" ref="AB93">IFERROR(_xlfn._xlws.FILTER(C93,F93="Combine Harvester"),"")</f>
        <v/>
      </c>
    </row>
    <row r="94" spans="1:28">
      <c r="A94" s="52">
        <v>53</v>
      </c>
      <c r="B94" s="55" t="s">
        <v>14</v>
      </c>
      <c r="C94" s="13" t="s">
        <v>231</v>
      </c>
      <c r="D94" s="56" t="s">
        <v>235</v>
      </c>
      <c r="E94" s="46" t="s">
        <v>275</v>
      </c>
      <c r="F94" s="46"/>
      <c r="G94" s="13" t="s">
        <v>98</v>
      </c>
      <c r="H94" s="13" t="s">
        <v>301</v>
      </c>
      <c r="I94" s="74" t="s">
        <v>232</v>
      </c>
      <c r="J94" s="13" t="s">
        <v>233</v>
      </c>
      <c r="K94" s="13" t="s">
        <v>234</v>
      </c>
      <c r="L94" s="13"/>
      <c r="M94" s="13"/>
      <c r="N94" s="53">
        <v>100</v>
      </c>
      <c r="O94" s="49" t="s">
        <v>277</v>
      </c>
      <c r="P94" s="49" t="s">
        <v>278</v>
      </c>
      <c r="Q94" s="53"/>
      <c r="R94" s="49" t="s">
        <v>278</v>
      </c>
      <c r="S94" s="49" t="s">
        <v>278</v>
      </c>
      <c r="T94" s="53"/>
      <c r="U94" s="53"/>
      <c r="V94" s="53"/>
      <c r="W94" s="53"/>
      <c r="X94" s="53"/>
      <c r="Z94" s="37" t="str" cm="1">
        <f t="array" ref="Z94">IFERROR(_xlfn._xlws.FILTER(C94,E94="Tractor"),"")</f>
        <v>Harouna</v>
      </c>
      <c r="AB94" s="37" t="str" cm="1">
        <f t="array" ref="AB94">IFERROR(_xlfn._xlws.FILTER(C94,F94="Combine Harvester"),"")</f>
        <v/>
      </c>
    </row>
    <row r="95" spans="1:28">
      <c r="B95" s="75"/>
      <c r="D95" s="76"/>
      <c r="E95" s="75"/>
      <c r="F95" s="75"/>
      <c r="O95" s="77"/>
      <c r="P95" s="77"/>
      <c r="R95" s="77"/>
      <c r="S95" s="77"/>
      <c r="Z95" s="37"/>
      <c r="AB95" s="37"/>
    </row>
    <row r="96" spans="1:28">
      <c r="B96" s="75"/>
      <c r="D96" s="76"/>
      <c r="E96" s="75"/>
      <c r="F96" s="75"/>
      <c r="O96" s="77"/>
      <c r="P96" s="77"/>
      <c r="R96" s="77"/>
      <c r="S96" s="77"/>
      <c r="Z96" s="37"/>
      <c r="AB96" s="37"/>
    </row>
    <row r="97" spans="2:28">
      <c r="B97" s="75"/>
      <c r="D97" s="76"/>
      <c r="E97" s="75"/>
      <c r="F97" s="75"/>
      <c r="O97" s="77"/>
      <c r="P97" s="77"/>
      <c r="R97" s="77"/>
      <c r="S97" s="77"/>
      <c r="Z97" s="37"/>
      <c r="AB97" s="37"/>
    </row>
    <row r="98" spans="2:28">
      <c r="B98" s="75"/>
      <c r="D98" s="76"/>
      <c r="E98" s="75"/>
      <c r="F98" s="75"/>
      <c r="O98" s="77"/>
      <c r="P98" s="77"/>
      <c r="R98" s="77"/>
      <c r="S98" s="77"/>
      <c r="Z98" s="37"/>
      <c r="AB98" s="37"/>
    </row>
    <row r="99" spans="2:28">
      <c r="B99" s="75"/>
      <c r="D99" s="76"/>
      <c r="E99" s="75"/>
      <c r="F99" s="75"/>
      <c r="O99" s="77"/>
      <c r="P99" s="77"/>
      <c r="R99" s="77"/>
      <c r="S99" s="77"/>
      <c r="Z99" s="37"/>
      <c r="AB99" s="37"/>
    </row>
    <row r="100" spans="2:28">
      <c r="B100" s="75"/>
      <c r="D100" s="76"/>
      <c r="E100" s="75"/>
      <c r="F100" s="75"/>
      <c r="O100" s="77"/>
      <c r="P100" s="77"/>
      <c r="R100" s="77"/>
      <c r="S100" s="77"/>
      <c r="Z100" s="37"/>
      <c r="AB100" s="37"/>
    </row>
    <row r="101" spans="2:28">
      <c r="B101" s="75"/>
      <c r="D101" s="76"/>
      <c r="E101" s="75"/>
      <c r="F101" s="75"/>
      <c r="O101" s="77"/>
      <c r="P101" s="77"/>
      <c r="R101" s="77"/>
      <c r="S101" s="77"/>
      <c r="Z101" s="37"/>
      <c r="AB101" s="37"/>
    </row>
    <row r="102" spans="2:28">
      <c r="B102" s="75"/>
      <c r="D102" s="76"/>
      <c r="E102" s="75"/>
      <c r="F102" s="75"/>
      <c r="O102" s="77"/>
      <c r="P102" s="77"/>
      <c r="R102" s="77"/>
      <c r="S102" s="77"/>
      <c r="Z102" s="37"/>
      <c r="AB102" s="37"/>
    </row>
    <row r="103" spans="2:28">
      <c r="B103" s="75"/>
      <c r="D103" s="76"/>
      <c r="E103" s="75"/>
      <c r="F103" s="75"/>
      <c r="O103" s="77"/>
      <c r="P103" s="77"/>
      <c r="R103" s="77"/>
      <c r="S103" s="77"/>
      <c r="Z103" s="37"/>
      <c r="AB103" s="37"/>
    </row>
    <row r="104" spans="2:28">
      <c r="B104" s="75"/>
      <c r="D104" s="76"/>
      <c r="E104" s="75"/>
      <c r="F104" s="75"/>
      <c r="O104" s="77"/>
      <c r="P104" s="77"/>
      <c r="R104" s="77"/>
      <c r="S104" s="77"/>
      <c r="Z104" s="37"/>
      <c r="AB104" s="37"/>
    </row>
    <row r="105" spans="2:28">
      <c r="B105" s="75"/>
      <c r="D105" s="76"/>
      <c r="E105" s="75"/>
      <c r="F105" s="75"/>
      <c r="O105" s="77"/>
      <c r="P105" s="77"/>
      <c r="R105" s="77"/>
      <c r="S105" s="77"/>
      <c r="Z105" s="37"/>
      <c r="AB105" s="37"/>
    </row>
    <row r="106" spans="2:28">
      <c r="B106" s="75"/>
      <c r="D106" s="76"/>
      <c r="E106" s="75"/>
      <c r="F106" s="75"/>
      <c r="O106" s="77"/>
      <c r="P106" s="77"/>
      <c r="R106" s="77"/>
      <c r="S106" s="77"/>
      <c r="Z106" s="37"/>
      <c r="AB106" s="37"/>
    </row>
    <row r="107" spans="2:28">
      <c r="B107" s="75"/>
      <c r="D107" s="76"/>
      <c r="E107" s="75"/>
      <c r="F107" s="75"/>
      <c r="O107" s="77"/>
      <c r="P107" s="77"/>
      <c r="R107" s="77"/>
      <c r="S107" s="77"/>
      <c r="Z107" s="37"/>
      <c r="AB107" s="37"/>
    </row>
    <row r="108" spans="2:28">
      <c r="B108" s="75"/>
      <c r="D108" s="76"/>
      <c r="E108" s="75"/>
      <c r="F108" s="75"/>
      <c r="O108" s="77"/>
      <c r="P108" s="77"/>
      <c r="R108" s="77"/>
      <c r="S108" s="77"/>
      <c r="Z108" s="37"/>
      <c r="AB108" s="37"/>
    </row>
    <row r="109" spans="2:28">
      <c r="B109" s="75"/>
      <c r="D109" s="76"/>
      <c r="E109" s="75"/>
      <c r="F109" s="75"/>
      <c r="O109" s="77"/>
      <c r="P109" s="77"/>
      <c r="R109" s="77"/>
      <c r="S109" s="77"/>
      <c r="Z109" s="37"/>
      <c r="AB109" s="37"/>
    </row>
    <row r="110" spans="2:28">
      <c r="B110" s="75"/>
      <c r="D110" s="76"/>
      <c r="E110" s="75"/>
      <c r="F110" s="75"/>
      <c r="O110" s="77"/>
      <c r="P110" s="77"/>
      <c r="R110" s="77"/>
      <c r="S110" s="77"/>
      <c r="Z110" s="37"/>
      <c r="AB110" s="37"/>
    </row>
    <row r="111" spans="2:28">
      <c r="B111" s="75"/>
      <c r="D111" s="76"/>
      <c r="E111" s="75"/>
      <c r="F111" s="75"/>
      <c r="O111" s="77"/>
      <c r="P111" s="77"/>
      <c r="R111" s="77"/>
      <c r="S111" s="77"/>
      <c r="Z111" s="37"/>
      <c r="AB111" s="37"/>
    </row>
    <row r="112" spans="2:28">
      <c r="B112" s="75"/>
      <c r="D112" s="76"/>
      <c r="E112" s="75"/>
      <c r="F112" s="75"/>
      <c r="O112" s="77"/>
      <c r="P112" s="77"/>
      <c r="R112" s="77"/>
      <c r="S112" s="77"/>
      <c r="Z112" s="37"/>
      <c r="AB112" s="37"/>
    </row>
    <row r="113" spans="2:28">
      <c r="B113" s="75"/>
      <c r="D113" s="76"/>
      <c r="E113" s="75"/>
      <c r="F113" s="75"/>
      <c r="O113" s="77"/>
      <c r="P113" s="77"/>
      <c r="R113" s="77"/>
      <c r="S113" s="77"/>
      <c r="Z113" s="37"/>
      <c r="AB113" s="37"/>
    </row>
    <row r="114" spans="2:28">
      <c r="B114" s="75"/>
      <c r="D114" s="76"/>
      <c r="E114" s="75"/>
      <c r="F114" s="75"/>
      <c r="O114" s="77"/>
      <c r="P114" s="77"/>
      <c r="R114" s="77"/>
      <c r="S114" s="77"/>
      <c r="Z114" s="37"/>
      <c r="AB114" s="37"/>
    </row>
    <row r="115" spans="2:28">
      <c r="B115" s="75"/>
      <c r="D115" s="76"/>
      <c r="E115" s="75"/>
      <c r="F115" s="75"/>
      <c r="O115" s="77"/>
      <c r="P115" s="77"/>
      <c r="R115" s="77"/>
      <c r="S115" s="77"/>
      <c r="Z115" s="37"/>
      <c r="AB115" s="37"/>
    </row>
    <row r="116" spans="2:28">
      <c r="B116" s="75"/>
      <c r="D116" s="76"/>
      <c r="E116" s="75"/>
      <c r="F116" s="75"/>
      <c r="O116" s="77"/>
      <c r="P116" s="77"/>
      <c r="R116" s="77"/>
      <c r="S116" s="77"/>
      <c r="Z116" s="37"/>
      <c r="AB116" s="37"/>
    </row>
    <row r="117" spans="2:28">
      <c r="B117" s="75"/>
      <c r="D117" s="76"/>
      <c r="E117" s="75"/>
      <c r="F117" s="75"/>
      <c r="O117" s="77"/>
      <c r="P117" s="77"/>
      <c r="R117" s="77"/>
      <c r="S117" s="77"/>
      <c r="Z117" s="37"/>
      <c r="AB117" s="37"/>
    </row>
    <row r="118" spans="2:28">
      <c r="B118" s="75"/>
      <c r="D118" s="76"/>
      <c r="E118" s="75"/>
      <c r="F118" s="75"/>
      <c r="O118" s="77"/>
      <c r="P118" s="77"/>
      <c r="R118" s="77"/>
      <c r="S118" s="77"/>
      <c r="Z118" s="37"/>
      <c r="AB118" s="37"/>
    </row>
    <row r="119" spans="2:28">
      <c r="B119" s="75"/>
      <c r="D119" s="76"/>
      <c r="E119" s="75"/>
      <c r="F119" s="75"/>
      <c r="O119" s="77"/>
      <c r="P119" s="77"/>
      <c r="R119" s="77"/>
      <c r="S119" s="77"/>
      <c r="Z119" s="37"/>
      <c r="AB119" s="37"/>
    </row>
    <row r="120" spans="2:28">
      <c r="B120" s="75"/>
      <c r="D120" s="76"/>
      <c r="E120" s="75"/>
      <c r="F120" s="75"/>
      <c r="O120" s="77"/>
      <c r="P120" s="77"/>
      <c r="R120" s="77"/>
      <c r="S120" s="77"/>
      <c r="Z120" s="37"/>
      <c r="AB120" s="37"/>
    </row>
    <row r="121" spans="2:28">
      <c r="B121" s="75"/>
      <c r="D121" s="76"/>
      <c r="E121" s="75"/>
      <c r="F121" s="75"/>
      <c r="O121" s="77"/>
      <c r="P121" s="77"/>
      <c r="R121" s="77"/>
      <c r="S121" s="77"/>
      <c r="Z121" s="37"/>
      <c r="AB121" s="37"/>
    </row>
    <row r="122" spans="2:28">
      <c r="B122" s="75"/>
      <c r="D122" s="76"/>
      <c r="E122" s="75"/>
      <c r="F122" s="75"/>
      <c r="O122" s="77"/>
      <c r="P122" s="77"/>
      <c r="R122" s="77"/>
      <c r="S122" s="77"/>
      <c r="Z122" s="37"/>
      <c r="AB122" s="37"/>
    </row>
    <row r="123" spans="2:28">
      <c r="B123" s="75"/>
      <c r="D123" s="76"/>
      <c r="E123" s="75"/>
      <c r="F123" s="75"/>
      <c r="O123" s="77"/>
      <c r="P123" s="77"/>
      <c r="R123" s="77"/>
      <c r="S123" s="77"/>
      <c r="Z123" s="37"/>
      <c r="AB123" s="37"/>
    </row>
    <row r="124" spans="2:28">
      <c r="B124" s="75"/>
      <c r="D124" s="76"/>
      <c r="E124" s="75"/>
      <c r="F124" s="75"/>
      <c r="O124" s="77"/>
      <c r="P124" s="77"/>
      <c r="R124" s="77"/>
      <c r="S124" s="77"/>
      <c r="Z124" s="37"/>
      <c r="AB124" s="37"/>
    </row>
    <row r="125" spans="2:28">
      <c r="B125" s="75"/>
      <c r="D125" s="76"/>
      <c r="E125" s="75"/>
      <c r="F125" s="75"/>
      <c r="O125" s="77"/>
      <c r="P125" s="77"/>
      <c r="R125" s="77"/>
      <c r="S125" s="77"/>
      <c r="Z125" s="37"/>
      <c r="AB125" s="37"/>
    </row>
    <row r="126" spans="2:28">
      <c r="B126" s="75"/>
      <c r="D126" s="76"/>
      <c r="E126" s="75"/>
      <c r="F126" s="75"/>
      <c r="O126" s="77"/>
      <c r="P126" s="77"/>
      <c r="R126" s="77"/>
      <c r="S126" s="77"/>
      <c r="Z126" s="37"/>
      <c r="AB126" s="37"/>
    </row>
    <row r="127" spans="2:28">
      <c r="B127" s="75"/>
      <c r="D127" s="76"/>
      <c r="E127" s="75"/>
      <c r="F127" s="75"/>
      <c r="O127" s="77"/>
      <c r="P127" s="77"/>
      <c r="R127" s="77"/>
      <c r="S127" s="77"/>
      <c r="Z127" s="37"/>
      <c r="AB127" s="37"/>
    </row>
    <row r="128" spans="2:28">
      <c r="B128" s="75"/>
      <c r="D128" s="76"/>
      <c r="E128" s="75"/>
      <c r="F128" s="75"/>
      <c r="O128" s="77"/>
      <c r="P128" s="77"/>
      <c r="R128" s="77"/>
      <c r="S128" s="77"/>
      <c r="Z128" s="37"/>
      <c r="AB128" s="37"/>
    </row>
    <row r="129" spans="2:28">
      <c r="B129" s="75"/>
      <c r="D129" s="76"/>
      <c r="E129" s="75"/>
      <c r="F129" s="75"/>
      <c r="O129" s="77"/>
      <c r="P129" s="77"/>
      <c r="R129" s="77"/>
      <c r="S129" s="77"/>
      <c r="Z129" s="37"/>
      <c r="AB129" s="37"/>
    </row>
    <row r="130" spans="2:28">
      <c r="B130" s="75"/>
      <c r="D130" s="76"/>
      <c r="E130" s="75"/>
      <c r="F130" s="75"/>
      <c r="O130" s="77"/>
      <c r="P130" s="77"/>
      <c r="R130" s="77"/>
      <c r="S130" s="77"/>
      <c r="Z130" s="37"/>
      <c r="AB130" s="37"/>
    </row>
    <row r="131" spans="2:28">
      <c r="B131" s="75"/>
      <c r="D131" s="76"/>
      <c r="E131" s="75"/>
      <c r="F131" s="75"/>
      <c r="O131" s="77"/>
      <c r="P131" s="77"/>
      <c r="R131" s="77"/>
      <c r="S131" s="77"/>
      <c r="Z131" s="37"/>
      <c r="AB131" s="37"/>
    </row>
    <row r="132" spans="2:28">
      <c r="B132" s="75"/>
      <c r="D132" s="76"/>
      <c r="E132" s="75"/>
      <c r="F132" s="75"/>
      <c r="O132" s="77"/>
      <c r="P132" s="77"/>
      <c r="R132" s="77"/>
      <c r="S132" s="77"/>
      <c r="Z132" s="37"/>
      <c r="AB132" s="37"/>
    </row>
    <row r="133" spans="2:28">
      <c r="B133" s="75"/>
      <c r="D133" s="76"/>
      <c r="E133" s="75"/>
      <c r="F133" s="75"/>
      <c r="O133" s="77"/>
      <c r="P133" s="77"/>
      <c r="R133" s="77"/>
      <c r="S133" s="77"/>
      <c r="Z133" s="37"/>
      <c r="AB133" s="37"/>
    </row>
    <row r="134" spans="2:28">
      <c r="B134" s="75"/>
      <c r="D134" s="76"/>
      <c r="E134" s="75"/>
      <c r="F134" s="75"/>
      <c r="O134" s="77"/>
      <c r="P134" s="77"/>
      <c r="R134" s="77"/>
      <c r="S134" s="77"/>
      <c r="Z134" s="37"/>
      <c r="AB134" s="37"/>
    </row>
    <row r="136" spans="2:28">
      <c r="G136" s="1" t="s">
        <v>124</v>
      </c>
      <c r="H136" s="1">
        <f>COUNTIFS($G$3:$G$94,G136,$E$3:$E$94,"Tractor")</f>
        <v>2</v>
      </c>
    </row>
    <row r="137" spans="2:28">
      <c r="G137" s="1" t="s">
        <v>154</v>
      </c>
      <c r="H137" s="1">
        <f t="shared" ref="H137:H158" si="3">COUNTIFS($G$3:$G$94,G137,$E$3:$E$94,"Tractor")</f>
        <v>10</v>
      </c>
    </row>
    <row r="138" spans="2:28">
      <c r="G138" s="1" t="s">
        <v>132</v>
      </c>
      <c r="H138" s="1">
        <f t="shared" si="3"/>
        <v>5</v>
      </c>
    </row>
    <row r="139" spans="2:28">
      <c r="G139" s="1" t="s">
        <v>159</v>
      </c>
      <c r="H139" s="1">
        <f t="shared" si="3"/>
        <v>1</v>
      </c>
    </row>
    <row r="140" spans="2:28">
      <c r="G140" s="1" t="s">
        <v>23</v>
      </c>
      <c r="H140" s="1">
        <f t="shared" si="3"/>
        <v>6</v>
      </c>
    </row>
    <row r="141" spans="2:28">
      <c r="G141" s="1" t="s">
        <v>163</v>
      </c>
      <c r="H141" s="1">
        <f t="shared" si="3"/>
        <v>1</v>
      </c>
    </row>
    <row r="142" spans="2:28">
      <c r="G142" s="1" t="s">
        <v>165</v>
      </c>
      <c r="H142" s="1">
        <f t="shared" si="3"/>
        <v>3</v>
      </c>
    </row>
    <row r="143" spans="2:28">
      <c r="G143" s="1" t="s">
        <v>114</v>
      </c>
      <c r="H143" s="1">
        <f t="shared" si="3"/>
        <v>12</v>
      </c>
    </row>
    <row r="144" spans="2:28">
      <c r="G144" s="1" t="s">
        <v>78</v>
      </c>
      <c r="H144" s="1">
        <f t="shared" si="3"/>
        <v>3</v>
      </c>
    </row>
    <row r="145" spans="7:8">
      <c r="G145" s="1" t="s">
        <v>98</v>
      </c>
      <c r="H145" s="1">
        <f t="shared" si="3"/>
        <v>2</v>
      </c>
    </row>
    <row r="146" spans="7:8">
      <c r="G146" s="1" t="s">
        <v>25</v>
      </c>
      <c r="H146" s="1">
        <f t="shared" si="3"/>
        <v>7</v>
      </c>
    </row>
    <row r="147" spans="7:8">
      <c r="G147" s="1" t="s">
        <v>21</v>
      </c>
      <c r="H147" s="1">
        <f t="shared" si="3"/>
        <v>4</v>
      </c>
    </row>
    <row r="148" spans="7:8">
      <c r="G148" s="1" t="s">
        <v>76</v>
      </c>
      <c r="H148" s="1">
        <f t="shared" si="3"/>
        <v>4</v>
      </c>
    </row>
    <row r="149" spans="7:8">
      <c r="G149" s="1" t="s">
        <v>229</v>
      </c>
      <c r="H149" s="1">
        <f t="shared" si="3"/>
        <v>1</v>
      </c>
    </row>
    <row r="150" spans="7:8">
      <c r="G150" s="1" t="s">
        <v>49</v>
      </c>
      <c r="H150" s="1">
        <f t="shared" si="3"/>
        <v>1</v>
      </c>
    </row>
    <row r="151" spans="7:8">
      <c r="G151" s="1" t="s">
        <v>55</v>
      </c>
      <c r="H151" s="1">
        <f t="shared" si="3"/>
        <v>19</v>
      </c>
    </row>
    <row r="152" spans="7:8">
      <c r="G152" s="1" t="s">
        <v>216</v>
      </c>
      <c r="H152" s="1">
        <f t="shared" si="3"/>
        <v>1</v>
      </c>
    </row>
    <row r="153" spans="7:8">
      <c r="G153" s="1" t="s">
        <v>17</v>
      </c>
      <c r="H153" s="1">
        <f t="shared" si="3"/>
        <v>2</v>
      </c>
    </row>
    <row r="154" spans="7:8">
      <c r="G154" s="1" t="s">
        <v>218</v>
      </c>
      <c r="H154" s="1">
        <f t="shared" si="3"/>
        <v>1</v>
      </c>
    </row>
    <row r="155" spans="7:8">
      <c r="G155" s="1" t="s">
        <v>222</v>
      </c>
      <c r="H155" s="1">
        <f t="shared" si="3"/>
        <v>1</v>
      </c>
    </row>
    <row r="156" spans="7:8">
      <c r="G156" s="1" t="s">
        <v>14</v>
      </c>
      <c r="H156" s="1">
        <f t="shared" si="3"/>
        <v>4</v>
      </c>
    </row>
    <row r="157" spans="7:8">
      <c r="G157" s="1" t="s">
        <v>12</v>
      </c>
      <c r="H157" s="1">
        <f t="shared" si="3"/>
        <v>1</v>
      </c>
    </row>
    <row r="158" spans="7:8">
      <c r="G158" s="1" t="s">
        <v>5</v>
      </c>
      <c r="H158" s="1">
        <f t="shared" si="3"/>
        <v>1</v>
      </c>
    </row>
  </sheetData>
  <sortState xmlns:xlrd2="http://schemas.microsoft.com/office/spreadsheetml/2017/richdata2" ref="A3:X94">
    <sortCondition ref="A3:A94"/>
  </sortState>
  <phoneticPr fontId="5" type="noConversion"/>
  <dataValidations count="9">
    <dataValidation type="list" allowBlank="1" showInputMessage="1" showErrorMessage="1" sqref="G11 G25:G26 G32:G33 G3:G5 G38 G52 G43:G47 G54:G56" xr:uid="{D9EB9294-83F9-44D4-A1A1-EBDBBCCFC70F}">
      <formula1>"Orkadiéré"</formula1>
    </dataValidation>
    <dataValidation type="list" allowBlank="1" showInputMessage="1" showErrorMessage="1" sqref="G8" xr:uid="{AA26BAFC-704B-412F-997A-2ADFB0552173}">
      <formula1>"Dembacané"</formula1>
    </dataValidation>
    <dataValidation type="list" allowBlank="1" showInputMessage="1" showErrorMessage="1" sqref="G16:G17" xr:uid="{FF445415-EF5C-4DE9-809B-5AF8B784E852}">
      <formula1>"Waoundé"</formula1>
    </dataValidation>
    <dataValidation type="list" allowBlank="1" showInputMessage="1" showErrorMessage="1" sqref="G27:G29 G19" xr:uid="{1D9AD1D0-DDAC-4DC7-ADB9-98973A93F04E}">
      <formula1>"Hamady Ounaré"</formula1>
    </dataValidation>
    <dataValidation type="list" allowBlank="1" showInputMessage="1" showErrorMessage="1" sqref="G36" xr:uid="{DF833DD0-3146-4ECF-A1FE-3D0DB04B2D5F}">
      <formula1>"Sinthiou Bamambé"</formula1>
    </dataValidation>
    <dataValidation type="list" allowBlank="1" showInputMessage="1" showErrorMessage="1" sqref="G37" xr:uid="{4446CBB2-A6C9-4140-BAC0-947E130D4CE2}">
      <formula1>"Ounaré"</formula1>
    </dataValidation>
    <dataValidation type="list" allowBlank="1" showInputMessage="1" showErrorMessage="1" sqref="G53" xr:uid="{96D2EC74-72B1-46C0-BC3E-6B50EFAE195E}">
      <formula1>"Ouro Sidy"</formula1>
    </dataValidation>
    <dataValidation type="list" allowBlank="1" showInputMessage="1" showErrorMessage="1" sqref="G49" xr:uid="{C85E232A-71F8-4A49-AF96-4CF8F4CA76F5}">
      <formula1>"Wouro sidy"</formula1>
    </dataValidation>
    <dataValidation type="list" allowBlank="1" showInputMessage="1" showErrorMessage="1" sqref="T3:U5 T43:U47" xr:uid="{D2570E21-993B-473A-9423-1CB64EAF2335}">
      <formula1>"ZOOMLION"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8B78-F8D7-4968-A7A9-777B94D697E2}">
  <sheetPr>
    <pageSetUpPr fitToPage="1"/>
  </sheetPr>
  <dimension ref="A1:K90"/>
  <sheetViews>
    <sheetView view="pageBreakPreview" zoomScaleNormal="100" zoomScaleSheetLayoutView="100" workbookViewId="0">
      <selection activeCell="J5" sqref="J5:J6"/>
    </sheetView>
  </sheetViews>
  <sheetFormatPr baseColWidth="10" defaultColWidth="8.90625" defaultRowHeight="14"/>
  <cols>
    <col min="1" max="1" width="20.81640625" style="14" customWidth="1"/>
    <col min="2" max="3" width="20.81640625" style="14" hidden="1" customWidth="1"/>
    <col min="4" max="4" width="20.81640625" style="14" customWidth="1"/>
    <col min="5" max="5" width="20.81640625" style="14" hidden="1" customWidth="1"/>
    <col min="6" max="8" width="20.81640625" style="14" customWidth="1"/>
    <col min="9" max="16384" width="8.90625" style="14"/>
  </cols>
  <sheetData>
    <row r="1" spans="1:11">
      <c r="A1" s="43" t="s">
        <v>346</v>
      </c>
      <c r="B1" s="44"/>
      <c r="C1" s="44"/>
      <c r="D1" s="44"/>
      <c r="E1" s="44"/>
      <c r="F1" s="44"/>
      <c r="G1" s="44"/>
    </row>
    <row r="2" spans="1:11">
      <c r="A2" s="15"/>
    </row>
    <row r="3" spans="1:11">
      <c r="A3" s="15" t="s">
        <v>237</v>
      </c>
      <c r="B3" s="15"/>
      <c r="C3" s="15"/>
    </row>
    <row r="4" spans="1:11">
      <c r="A4" s="16" t="s">
        <v>237</v>
      </c>
      <c r="B4" s="16"/>
      <c r="C4" s="16"/>
      <c r="D4" s="16" t="s">
        <v>238</v>
      </c>
      <c r="E4" s="17"/>
    </row>
    <row r="5" spans="1:11">
      <c r="A5" s="18" t="s">
        <v>239</v>
      </c>
      <c r="B5" s="18"/>
      <c r="C5" s="18"/>
      <c r="D5" s="18">
        <f>COUNTIF('Raw Data'!$E$3:$E$94,Analysis!A5)</f>
        <v>92</v>
      </c>
      <c r="J5" s="14">
        <f>COUNTIFS('Raw Data'!$E$3:$E$94,Analysis!A5,'Raw Data'!$B$3:$B$94,"Matam")</f>
        <v>40</v>
      </c>
      <c r="K5" s="14">
        <f>COUNTIFS('Raw Data'!$E$3:$E$94,Analysis!A5,'Raw Data'!$B$3:$B$94,"Kanel")</f>
        <v>52</v>
      </c>
    </row>
    <row r="6" spans="1:11">
      <c r="A6" s="18" t="s">
        <v>240</v>
      </c>
      <c r="B6" s="18"/>
      <c r="C6" s="18"/>
      <c r="D6" s="18">
        <f>COUNTIF('Raw Data'!$F$3:$F$94,Analysis!A6)</f>
        <v>18</v>
      </c>
      <c r="J6" s="14">
        <f>COUNTIFS('Raw Data'!$F$3:$F$94,Analysis!A6,'Raw Data'!$B$3:$B$94,"Matam")</f>
        <v>7</v>
      </c>
      <c r="K6" s="14">
        <f>COUNTIFS('Raw Data'!$F$3:$F$94,Analysis!A6,'Raw Data'!$B$3:$B$94,"Kanel")</f>
        <v>11</v>
      </c>
    </row>
    <row r="7" spans="1:11">
      <c r="A7" s="16" t="s">
        <v>241</v>
      </c>
      <c r="B7" s="16"/>
      <c r="C7" s="16"/>
      <c r="D7" s="18">
        <f>SUM(D5:D6)</f>
        <v>110</v>
      </c>
    </row>
    <row r="9" spans="1:11">
      <c r="A9" s="15" t="s">
        <v>242</v>
      </c>
      <c r="B9" s="15"/>
      <c r="C9" s="15"/>
    </row>
    <row r="10" spans="1:11">
      <c r="A10" s="16" t="s">
        <v>242</v>
      </c>
      <c r="B10" s="16"/>
      <c r="C10" s="16"/>
      <c r="D10" s="16" t="s">
        <v>237</v>
      </c>
      <c r="E10" s="16"/>
      <c r="F10" s="16" t="s">
        <v>243</v>
      </c>
      <c r="G10" s="16" t="s">
        <v>244</v>
      </c>
    </row>
    <row r="11" spans="1:11">
      <c r="A11" s="18" t="s">
        <v>245</v>
      </c>
      <c r="B11" s="18"/>
      <c r="C11" s="18"/>
      <c r="D11" s="18" t="s">
        <v>239</v>
      </c>
      <c r="E11" s="18"/>
      <c r="F11" s="18">
        <f>COUNTIFS('Raw Data'!$D$3:$D$94,Analysis!A11,'Raw Data'!$E$3:$E$94,Analysis!D11)</f>
        <v>19</v>
      </c>
      <c r="G11" s="19">
        <f>ROUND(F11/$D$5,2)</f>
        <v>0.21</v>
      </c>
    </row>
    <row r="12" spans="1:11">
      <c r="A12" s="18" t="s">
        <v>245</v>
      </c>
      <c r="B12" s="18"/>
      <c r="C12" s="18"/>
      <c r="D12" s="18" t="s">
        <v>240</v>
      </c>
      <c r="E12" s="18"/>
      <c r="F12" s="18">
        <f>COUNTIFS('Raw Data'!$D$3:$D$94,Analysis!A12,'Raw Data'!$F$3:$F$94,Analysis!D12)</f>
        <v>5</v>
      </c>
      <c r="G12" s="19">
        <f>ROUND(F12/$D$6,2)</f>
        <v>0.28000000000000003</v>
      </c>
    </row>
    <row r="13" spans="1:11">
      <c r="A13" s="20" t="s">
        <v>246</v>
      </c>
      <c r="B13" s="20"/>
      <c r="C13" s="20"/>
      <c r="D13" s="21"/>
      <c r="E13" s="21"/>
      <c r="F13" s="18">
        <f>SUM(F11:F12)</f>
        <v>24</v>
      </c>
      <c r="G13" s="22" t="s">
        <v>247</v>
      </c>
    </row>
    <row r="14" spans="1:11">
      <c r="A14" s="18" t="s">
        <v>248</v>
      </c>
      <c r="B14" s="18"/>
      <c r="C14" s="18"/>
      <c r="D14" s="18" t="s">
        <v>239</v>
      </c>
      <c r="E14" s="18"/>
      <c r="F14" s="18">
        <f>COUNTIFS('Raw Data'!$D$3:$D$94,Analysis!A14,'Raw Data'!$E$3:$E$94,Analysis!D14)</f>
        <v>73</v>
      </c>
      <c r="G14" s="19">
        <f>ROUND(F14/$D$5,2)</f>
        <v>0.79</v>
      </c>
    </row>
    <row r="15" spans="1:11">
      <c r="A15" s="18" t="s">
        <v>248</v>
      </c>
      <c r="B15" s="18"/>
      <c r="C15" s="18"/>
      <c r="D15" s="18" t="s">
        <v>240</v>
      </c>
      <c r="E15" s="18"/>
      <c r="F15" s="18">
        <f>COUNTIFS('Raw Data'!$D$3:$D$94,Analysis!A15,'Raw Data'!$F$3:$F$94,Analysis!D15)</f>
        <v>13</v>
      </c>
      <c r="G15" s="19">
        <f>ROUND(F15/$D$6,2)</f>
        <v>0.72</v>
      </c>
    </row>
    <row r="16" spans="1:11">
      <c r="A16" s="20" t="s">
        <v>246</v>
      </c>
      <c r="B16" s="20"/>
      <c r="C16" s="20"/>
      <c r="D16" s="21"/>
      <c r="E16" s="21"/>
      <c r="F16" s="18">
        <f>SUM(F14:F15)</f>
        <v>86</v>
      </c>
      <c r="G16" s="22" t="s">
        <v>247</v>
      </c>
    </row>
    <row r="17" spans="1:11">
      <c r="A17" s="23" t="s">
        <v>241</v>
      </c>
      <c r="B17" s="23"/>
      <c r="C17" s="23"/>
      <c r="D17" s="23"/>
      <c r="E17" s="23"/>
      <c r="F17" s="24">
        <f>SUMIF(A11:A16,"Sub-total",F11:F16)</f>
        <v>110</v>
      </c>
      <c r="G17" s="22" t="s">
        <v>247</v>
      </c>
    </row>
    <row r="19" spans="1:11">
      <c r="A19" s="15" t="s">
        <v>249</v>
      </c>
    </row>
    <row r="20" spans="1:11" ht="28">
      <c r="A20" s="25" t="s">
        <v>250</v>
      </c>
      <c r="B20" s="25"/>
      <c r="C20" s="25"/>
      <c r="D20" s="25" t="s">
        <v>237</v>
      </c>
      <c r="E20" s="25"/>
      <c r="F20" s="26" t="s">
        <v>251</v>
      </c>
      <c r="G20" s="25" t="s">
        <v>252</v>
      </c>
    </row>
    <row r="21" spans="1:11">
      <c r="A21" s="18" t="s">
        <v>253</v>
      </c>
      <c r="B21" s="18"/>
      <c r="C21" s="18"/>
      <c r="D21" s="18" t="s">
        <v>239</v>
      </c>
      <c r="E21" s="18"/>
      <c r="F21" s="18">
        <f>COUNTIFS('Raw Data'!$O$3:$O$94,Analysis!A21,'Raw Data'!$E$3:$E$94,Analysis!D21)</f>
        <v>73</v>
      </c>
      <c r="G21" s="19">
        <f>ROUND(F21/$D$5,2)</f>
        <v>0.79</v>
      </c>
      <c r="J21" s="14">
        <f>COUNTIFS('Raw Data'!$O$3:$O$94,Analysis!A21,'Raw Data'!$E$3:$E$94,Analysis!D21,'Raw Data'!$B$3:$B$94,"Matam")</f>
        <v>37</v>
      </c>
      <c r="K21" s="14">
        <f>COUNTIFS('Raw Data'!$O$3:$O$94,Analysis!A21,'Raw Data'!$E$3:$E$94,Analysis!D21,'Raw Data'!$B$3:$B$94,"Kanel")</f>
        <v>36</v>
      </c>
    </row>
    <row r="22" spans="1:11">
      <c r="A22" s="18" t="s">
        <v>253</v>
      </c>
      <c r="B22" s="18"/>
      <c r="C22" s="18"/>
      <c r="D22" s="18" t="s">
        <v>240</v>
      </c>
      <c r="E22" s="18"/>
      <c r="F22" s="18">
        <f>COUNTIFS('Raw Data'!$W$3:$W$94,Analysis!A22,'Raw Data'!$F$3:$F$94,Analysis!D22)</f>
        <v>9</v>
      </c>
      <c r="G22" s="19">
        <f>ROUND(F22/$D$6,2)</f>
        <v>0.5</v>
      </c>
      <c r="J22" s="14">
        <f>COUNTIFS('Raw Data'!$W$3:$W$94,Analysis!A22,'Raw Data'!$F$3:$F$94,Analysis!D22,'Raw Data'!$B$3:$B$94,"Matam")</f>
        <v>6</v>
      </c>
      <c r="K22" s="14">
        <f>COUNTIFS('Raw Data'!$W$3:$W$94,Analysis!A22,'Raw Data'!$F$3:$F$94,Analysis!D22,'Raw Data'!$B$3:$B$94,"Kanel")</f>
        <v>3</v>
      </c>
    </row>
    <row r="23" spans="1:11">
      <c r="A23" s="20" t="s">
        <v>246</v>
      </c>
      <c r="B23" s="20"/>
      <c r="C23" s="20"/>
      <c r="D23" s="21"/>
      <c r="E23" s="21"/>
      <c r="F23" s="18">
        <f>SUM(F21:F22)</f>
        <v>82</v>
      </c>
      <c r="G23" s="22" t="s">
        <v>247</v>
      </c>
    </row>
    <row r="24" spans="1:11">
      <c r="A24" s="18" t="s">
        <v>254</v>
      </c>
      <c r="B24" s="18"/>
      <c r="C24" s="18"/>
      <c r="D24" s="18" t="s">
        <v>239</v>
      </c>
      <c r="E24" s="18"/>
      <c r="F24" s="18">
        <f>COUNTIFS('Raw Data'!$O$3:$O$94,Analysis!A24,'Raw Data'!$E$3:$E$94,Analysis!D24)</f>
        <v>14</v>
      </c>
      <c r="G24" s="19">
        <f>ROUND(F24/$D$5,2)</f>
        <v>0.15</v>
      </c>
    </row>
    <row r="25" spans="1:11">
      <c r="A25" s="18" t="s">
        <v>254</v>
      </c>
      <c r="B25" s="18"/>
      <c r="C25" s="18"/>
      <c r="D25" s="18" t="s">
        <v>240</v>
      </c>
      <c r="E25" s="18"/>
      <c r="F25" s="18">
        <f>COUNTIFS('Raw Data'!$W$3:$W$94,Analysis!A25,'Raw Data'!$F$3:$F$94,Analysis!D25)</f>
        <v>9</v>
      </c>
      <c r="G25" s="19">
        <f>ROUND(F25/$D$6,2)</f>
        <v>0.5</v>
      </c>
    </row>
    <row r="26" spans="1:11">
      <c r="A26" s="20" t="s">
        <v>246</v>
      </c>
      <c r="B26" s="20"/>
      <c r="C26" s="20"/>
      <c r="D26" s="21"/>
      <c r="E26" s="21"/>
      <c r="F26" s="18">
        <f>SUM(F24:F25)</f>
        <v>23</v>
      </c>
      <c r="G26" s="22" t="s">
        <v>247</v>
      </c>
    </row>
    <row r="27" spans="1:11">
      <c r="A27" s="18" t="s">
        <v>270</v>
      </c>
      <c r="B27" s="18"/>
      <c r="C27" s="18"/>
      <c r="D27" s="18" t="s">
        <v>239</v>
      </c>
      <c r="E27" s="18"/>
      <c r="F27" s="18">
        <f>COUNTIFS('Raw Data'!$O$3:$O$94,Analysis!A27,'Raw Data'!$E$3:$E$94,Analysis!D27)</f>
        <v>5</v>
      </c>
      <c r="G27" s="19">
        <f>ROUND(F27/$D$5,2)</f>
        <v>0.05</v>
      </c>
    </row>
    <row r="28" spans="1:11">
      <c r="A28" s="18" t="s">
        <v>270</v>
      </c>
      <c r="B28" s="18"/>
      <c r="C28" s="18"/>
      <c r="D28" s="18" t="s">
        <v>240</v>
      </c>
      <c r="E28" s="18"/>
      <c r="F28" s="18">
        <f>COUNTIFS('Raw Data'!$W$3:$W$94,Analysis!A28,'Raw Data'!$F$3:$F$94,Analysis!D28)</f>
        <v>0</v>
      </c>
      <c r="G28" s="19">
        <f>ROUND(F28/$D$6,2)</f>
        <v>0</v>
      </c>
    </row>
    <row r="29" spans="1:11">
      <c r="A29" s="20" t="s">
        <v>246</v>
      </c>
      <c r="B29" s="20"/>
      <c r="C29" s="20"/>
      <c r="D29" s="21"/>
      <c r="E29" s="21"/>
      <c r="F29" s="18">
        <f>SUM(F27:F28)</f>
        <v>5</v>
      </c>
      <c r="G29" s="22" t="s">
        <v>247</v>
      </c>
    </row>
    <row r="30" spans="1:11">
      <c r="A30" s="20" t="s">
        <v>241</v>
      </c>
      <c r="B30" s="20"/>
      <c r="C30" s="20"/>
      <c r="D30" s="20"/>
      <c r="E30" s="20"/>
      <c r="F30" s="18">
        <f>SUMIF(A21:A29,"Sub-total",F21:F29)</f>
        <v>110</v>
      </c>
      <c r="G30" s="18"/>
    </row>
    <row r="32" spans="1:11">
      <c r="A32" s="15" t="s">
        <v>255</v>
      </c>
      <c r="B32" s="15"/>
      <c r="C32" s="15"/>
    </row>
    <row r="33" spans="1:7" ht="28">
      <c r="A33" s="25" t="s">
        <v>242</v>
      </c>
      <c r="B33" s="25"/>
      <c r="C33" s="25"/>
      <c r="D33" s="25" t="s">
        <v>250</v>
      </c>
      <c r="E33" s="25" t="s">
        <v>237</v>
      </c>
      <c r="F33" s="26" t="s">
        <v>251</v>
      </c>
      <c r="G33" s="25" t="s">
        <v>252</v>
      </c>
    </row>
    <row r="34" spans="1:7">
      <c r="A34" s="18" t="s">
        <v>245</v>
      </c>
      <c r="B34" s="18"/>
      <c r="C34" s="18"/>
      <c r="D34" s="18" t="s">
        <v>253</v>
      </c>
      <c r="E34" s="18" t="s">
        <v>239</v>
      </c>
      <c r="F34" s="18">
        <f>COUNTIFS('Raw Data'!$D$3:$D$94,Analysis!A34,'Raw Data'!$O$3:$O$94,Analysis!D34,'Raw Data'!$E$3:$E$94,E34)</f>
        <v>13</v>
      </c>
      <c r="G34" s="19">
        <f>ROUND(F34/$F$36,2)</f>
        <v>0.72</v>
      </c>
    </row>
    <row r="35" spans="1:7">
      <c r="A35" s="18" t="s">
        <v>245</v>
      </c>
      <c r="B35" s="18"/>
      <c r="C35" s="18"/>
      <c r="D35" s="18" t="s">
        <v>254</v>
      </c>
      <c r="E35" s="18" t="s">
        <v>239</v>
      </c>
      <c r="F35" s="18">
        <f>COUNTIFS('Raw Data'!$D$3:$D$94,Analysis!A35,'Raw Data'!$O$3:$O$94,Analysis!D35,'Raw Data'!$E$3:$E$94,E35)</f>
        <v>5</v>
      </c>
      <c r="G35" s="19">
        <f>ROUND(F35/$F$36,2)</f>
        <v>0.28000000000000003</v>
      </c>
    </row>
    <row r="36" spans="1:7">
      <c r="A36" s="20" t="s">
        <v>246</v>
      </c>
      <c r="B36" s="20"/>
      <c r="C36" s="20"/>
      <c r="D36" s="21"/>
      <c r="E36" s="21"/>
      <c r="F36" s="18">
        <f>SUM(F34:F35)</f>
        <v>18</v>
      </c>
      <c r="G36" s="22" t="s">
        <v>247</v>
      </c>
    </row>
    <row r="37" spans="1:7">
      <c r="A37" s="18" t="s">
        <v>248</v>
      </c>
      <c r="B37" s="18"/>
      <c r="C37" s="18"/>
      <c r="D37" s="18" t="s">
        <v>253</v>
      </c>
      <c r="E37" s="18" t="s">
        <v>239</v>
      </c>
      <c r="F37" s="18">
        <f>COUNTIFS('Raw Data'!$D$3:$D$94,Analysis!A37,'Raw Data'!$O$3:$O$94,Analysis!D37,'Raw Data'!$E$3:$E$94,E37)</f>
        <v>60</v>
      </c>
      <c r="G37" s="19">
        <f>ROUND(F37/$F$39,2)</f>
        <v>0.87</v>
      </c>
    </row>
    <row r="38" spans="1:7">
      <c r="A38" s="18" t="s">
        <v>248</v>
      </c>
      <c r="B38" s="18"/>
      <c r="C38" s="18"/>
      <c r="D38" s="18" t="s">
        <v>254</v>
      </c>
      <c r="E38" s="18" t="s">
        <v>239</v>
      </c>
      <c r="F38" s="18">
        <f>COUNTIFS('Raw Data'!$D$3:$D$94,Analysis!A38,'Raw Data'!$O$3:$O$94,Analysis!D38,'Raw Data'!$E$3:$E$94,E38)</f>
        <v>9</v>
      </c>
      <c r="G38" s="19">
        <f>ROUND(F38/$F$39,2)</f>
        <v>0.13</v>
      </c>
    </row>
    <row r="39" spans="1:7">
      <c r="A39" s="20" t="s">
        <v>246</v>
      </c>
      <c r="B39" s="20"/>
      <c r="C39" s="20"/>
      <c r="D39" s="21"/>
      <c r="E39" s="21"/>
      <c r="F39" s="18">
        <f>SUM(F37:F38)</f>
        <v>69</v>
      </c>
      <c r="G39" s="22" t="s">
        <v>247</v>
      </c>
    </row>
    <row r="41" spans="1:7">
      <c r="A41" s="15" t="s">
        <v>256</v>
      </c>
      <c r="B41" s="15"/>
      <c r="C41" s="15"/>
    </row>
    <row r="42" spans="1:7" ht="28">
      <c r="A42" s="25" t="s">
        <v>242</v>
      </c>
      <c r="B42" s="25"/>
      <c r="C42" s="25"/>
      <c r="D42" s="25" t="s">
        <v>250</v>
      </c>
      <c r="E42" s="25" t="s">
        <v>237</v>
      </c>
      <c r="F42" s="26" t="s">
        <v>251</v>
      </c>
      <c r="G42" s="25" t="s">
        <v>252</v>
      </c>
    </row>
    <row r="43" spans="1:7">
      <c r="A43" s="18" t="s">
        <v>245</v>
      </c>
      <c r="B43" s="18"/>
      <c r="C43" s="18"/>
      <c r="D43" s="18" t="s">
        <v>253</v>
      </c>
      <c r="E43" s="18" t="s">
        <v>240</v>
      </c>
      <c r="F43" s="18">
        <f>COUNTIFS('Raw Data'!$D$3:$D$94,Analysis!A43,'Raw Data'!$W$3:$W$94,Analysis!D43,'Raw Data'!$F$3:$F$94,E43)</f>
        <v>5</v>
      </c>
      <c r="G43" s="19">
        <f>ROUND(F43/$F$45,2)</f>
        <v>1</v>
      </c>
    </row>
    <row r="44" spans="1:7">
      <c r="A44" s="18" t="s">
        <v>245</v>
      </c>
      <c r="B44" s="18"/>
      <c r="C44" s="18"/>
      <c r="D44" s="18" t="s">
        <v>254</v>
      </c>
      <c r="E44" s="18" t="s">
        <v>240</v>
      </c>
      <c r="F44" s="18">
        <f>COUNTIFS('Raw Data'!$D$3:$D$94,Analysis!A44,'Raw Data'!$W$3:$W$94,Analysis!D44,'Raw Data'!$F$3:$F$94,E44)</f>
        <v>0</v>
      </c>
      <c r="G44" s="19">
        <f>ROUND(F44/$F$45,2)</f>
        <v>0</v>
      </c>
    </row>
    <row r="45" spans="1:7">
      <c r="A45" s="20" t="s">
        <v>246</v>
      </c>
      <c r="B45" s="20"/>
      <c r="C45" s="20"/>
      <c r="D45" s="21"/>
      <c r="E45" s="21"/>
      <c r="F45" s="18">
        <f>SUM(F43:F44)</f>
        <v>5</v>
      </c>
      <c r="G45" s="22" t="s">
        <v>247</v>
      </c>
    </row>
    <row r="46" spans="1:7">
      <c r="A46" s="18" t="s">
        <v>248</v>
      </c>
      <c r="B46" s="18"/>
      <c r="C46" s="18"/>
      <c r="D46" s="18" t="s">
        <v>253</v>
      </c>
      <c r="E46" s="18" t="s">
        <v>240</v>
      </c>
      <c r="F46" s="18">
        <f>COUNTIFS('Raw Data'!$D$3:$D$94,Analysis!A46,'Raw Data'!$W$3:$W$94,Analysis!D46,'Raw Data'!$F$3:$F$94,E46)</f>
        <v>4</v>
      </c>
      <c r="G46" s="19">
        <f>ROUND(F46/$F$48,2)</f>
        <v>0.31</v>
      </c>
    </row>
    <row r="47" spans="1:7">
      <c r="A47" s="18" t="s">
        <v>248</v>
      </c>
      <c r="B47" s="18"/>
      <c r="C47" s="18"/>
      <c r="D47" s="18" t="s">
        <v>254</v>
      </c>
      <c r="E47" s="18" t="s">
        <v>240</v>
      </c>
      <c r="F47" s="18">
        <f>COUNTIFS('Raw Data'!$D$3:$D$94,Analysis!A47,'Raw Data'!$W$3:$W$94,Analysis!D47,'Raw Data'!$F$3:$F$94,E47)</f>
        <v>9</v>
      </c>
      <c r="G47" s="19">
        <f>ROUND(F47/$F$48,2)</f>
        <v>0.69</v>
      </c>
    </row>
    <row r="48" spans="1:7">
      <c r="A48" s="20" t="s">
        <v>246</v>
      </c>
      <c r="B48" s="20"/>
      <c r="C48" s="20"/>
      <c r="D48" s="21"/>
      <c r="E48" s="21"/>
      <c r="F48" s="18">
        <f>SUM(F46:F47)</f>
        <v>13</v>
      </c>
      <c r="G48" s="22" t="s">
        <v>247</v>
      </c>
    </row>
    <row r="50" spans="1:4">
      <c r="A50" s="15" t="s">
        <v>257</v>
      </c>
      <c r="B50" s="15"/>
      <c r="C50" s="15"/>
    </row>
    <row r="51" spans="1:4">
      <c r="A51" s="16" t="s">
        <v>258</v>
      </c>
      <c r="B51" s="16" t="s">
        <v>259</v>
      </c>
      <c r="C51" s="16"/>
      <c r="D51" s="16" t="s">
        <v>238</v>
      </c>
    </row>
    <row r="52" spans="1:4">
      <c r="A52" s="18" t="s">
        <v>260</v>
      </c>
      <c r="B52" s="22" t="s">
        <v>261</v>
      </c>
      <c r="C52" s="18"/>
      <c r="D52" s="18">
        <f>COUNTIF('Raw Data'!P3:P94,"&lt;2018")+COUNTIF('Raw Data'!X3:X94,"&lt;2018")</f>
        <v>56</v>
      </c>
    </row>
    <row r="53" spans="1:4">
      <c r="A53" s="18" t="s">
        <v>262</v>
      </c>
      <c r="B53" s="22">
        <v>2018</v>
      </c>
      <c r="C53" s="18"/>
      <c r="D53" s="18">
        <f>COUNTIFS('Raw Data'!$P$3:$P$94,Analysis!B53,'Raw Data'!$E$3:$E$94,"Tractor")+COUNTIFS('Raw Data'!$X$3:$X$94,Analysis!B53,'Raw Data'!$F$3:$F$94,"Combine Harvester")</f>
        <v>1</v>
      </c>
    </row>
    <row r="54" spans="1:4">
      <c r="A54" s="18" t="s">
        <v>263</v>
      </c>
      <c r="B54" s="22">
        <v>2019</v>
      </c>
      <c r="C54" s="18"/>
      <c r="D54" s="18">
        <f>COUNTIFS('Raw Data'!$P$3:$P$94,Analysis!B54,'Raw Data'!$E$3:$E$94,"Tractor")+COUNTIFS('Raw Data'!$X$3:$X$94,Analysis!B54,'Raw Data'!$F$3:$F$94,"Combine Harvester")</f>
        <v>35</v>
      </c>
    </row>
    <row r="55" spans="1:4">
      <c r="A55" s="18" t="s">
        <v>264</v>
      </c>
      <c r="B55" s="22">
        <v>2020</v>
      </c>
      <c r="C55" s="18"/>
      <c r="D55" s="18">
        <f>COUNTIFS('Raw Data'!$P$3:$P$94,Analysis!B55,'Raw Data'!$E$3:$E$94,"Tractor")+COUNTIFS('Raw Data'!$X$3:$X$94,Analysis!B55,'Raw Data'!$F$3:$F$94,"Combine Harvester")</f>
        <v>2</v>
      </c>
    </row>
    <row r="56" spans="1:4">
      <c r="A56" s="18" t="s">
        <v>265</v>
      </c>
      <c r="B56" s="22">
        <v>2021</v>
      </c>
      <c r="C56" s="18"/>
      <c r="D56" s="18">
        <f>COUNTIFS('Raw Data'!$P$3:$P$94,Analysis!B56,'Raw Data'!$E$3:$E$94,"Tractor")+COUNTIFS('Raw Data'!$X$3:$X$94,Analysis!B56,'Raw Data'!$F$3:$F$94,"Combine Harvester")</f>
        <v>0</v>
      </c>
    </row>
    <row r="57" spans="1:4">
      <c r="A57" s="18" t="s">
        <v>266</v>
      </c>
      <c r="B57" s="22">
        <v>2022</v>
      </c>
      <c r="C57" s="18"/>
      <c r="D57" s="18">
        <f>COUNTIFS('Raw Data'!$P$3:$P$94,Analysis!B57,'Raw Data'!$E$3:$E$94,"Tractor")+COUNTIFS('Raw Data'!$X$3:$X$94,Analysis!B57,'Raw Data'!$F$3:$F$94,"Combine Harvester")</f>
        <v>0</v>
      </c>
    </row>
    <row r="58" spans="1:4">
      <c r="A58" s="18" t="s">
        <v>267</v>
      </c>
      <c r="B58" s="22">
        <v>2023</v>
      </c>
      <c r="C58" s="18"/>
      <c r="D58" s="18">
        <f>COUNTIFS('Raw Data'!$P$3:$P$94,Analysis!B58,'Raw Data'!$E$3:$E$94,"Tractor")+COUNTIFS('Raw Data'!$X$3:$X$94,Analysis!B58,'Raw Data'!$F$3:$F$94,"Combine Harvester")</f>
        <v>0</v>
      </c>
    </row>
    <row r="59" spans="1:4">
      <c r="A59" s="18" t="s">
        <v>268</v>
      </c>
      <c r="B59" s="22">
        <v>2024</v>
      </c>
      <c r="C59" s="18"/>
      <c r="D59" s="18">
        <f>COUNTIFS('Raw Data'!$P$3:$P$94,Analysis!B59,'Raw Data'!$E$3:$E$94,"Tractor")+COUNTIFS('Raw Data'!$X$3:$X$94,Analysis!B59,'Raw Data'!$F$3:$F$94,"Combine Harvester")</f>
        <v>0</v>
      </c>
    </row>
    <row r="60" spans="1:4">
      <c r="A60" s="18" t="s">
        <v>269</v>
      </c>
      <c r="B60" s="22">
        <v>2025</v>
      </c>
      <c r="C60" s="18"/>
      <c r="D60" s="18">
        <f>COUNTIFS('Raw Data'!$P$3:$P$94,Analysis!B60,'Raw Data'!$E$3:$E$94,"Tractor")+COUNTIFS('Raw Data'!$X$3:$X$94,Analysis!B60,'Raw Data'!$F$3:$F$94,"Combine Harvester")</f>
        <v>0</v>
      </c>
    </row>
    <row r="61" spans="1:4">
      <c r="A61" s="18" t="s">
        <v>270</v>
      </c>
      <c r="B61" s="22" t="s">
        <v>270</v>
      </c>
      <c r="C61" s="18"/>
      <c r="D61" s="18">
        <f>COUNTIFS('Raw Data'!$P$3:$P$94,Analysis!B61,'Raw Data'!$E$3:$E$94,"Tractor")+COUNTIFS('Raw Data'!$X$3:$X$94,Analysis!B61,'Raw Data'!$F$3:$F$94,"Combine Harvester")</f>
        <v>16</v>
      </c>
    </row>
    <row r="62" spans="1:4">
      <c r="A62" s="16" t="s">
        <v>241</v>
      </c>
      <c r="B62" s="16"/>
      <c r="C62" s="16"/>
      <c r="D62" s="18">
        <f>SUM(D52:D61)</f>
        <v>110</v>
      </c>
    </row>
    <row r="64" spans="1:4">
      <c r="A64" s="15" t="s">
        <v>271</v>
      </c>
      <c r="B64" s="15"/>
      <c r="C64" s="15"/>
    </row>
    <row r="65" spans="1:4">
      <c r="A65" s="16" t="s">
        <v>258</v>
      </c>
      <c r="B65" s="16" t="s">
        <v>259</v>
      </c>
      <c r="C65" s="16" t="s">
        <v>237</v>
      </c>
      <c r="D65" s="16" t="s">
        <v>238</v>
      </c>
    </row>
    <row r="66" spans="1:4">
      <c r="A66" s="18" t="s">
        <v>260</v>
      </c>
      <c r="B66" s="22" t="s">
        <v>261</v>
      </c>
      <c r="C66" s="18" t="s">
        <v>239</v>
      </c>
      <c r="D66" s="18">
        <f>COUNTIF('Raw Data'!P3:P94,"&lt;2018")</f>
        <v>53</v>
      </c>
    </row>
    <row r="67" spans="1:4">
      <c r="A67" s="18" t="s">
        <v>262</v>
      </c>
      <c r="B67" s="22">
        <v>2018</v>
      </c>
      <c r="C67" s="18" t="s">
        <v>239</v>
      </c>
      <c r="D67" s="18">
        <f>COUNTIFS('Raw Data'!$P$3:$P$94,Analysis!B67,'Raw Data'!$E$3:$E$94,C67)</f>
        <v>0</v>
      </c>
    </row>
    <row r="68" spans="1:4">
      <c r="A68" s="18" t="s">
        <v>263</v>
      </c>
      <c r="B68" s="22">
        <v>2019</v>
      </c>
      <c r="C68" s="18" t="s">
        <v>239</v>
      </c>
      <c r="D68" s="18">
        <f>COUNTIFS('Raw Data'!$P$3:$P$94,Analysis!B68,'Raw Data'!$E$3:$E$94,C68)</f>
        <v>23</v>
      </c>
    </row>
    <row r="69" spans="1:4">
      <c r="A69" s="18" t="s">
        <v>264</v>
      </c>
      <c r="B69" s="22">
        <v>2020</v>
      </c>
      <c r="C69" s="18" t="s">
        <v>239</v>
      </c>
      <c r="D69" s="18">
        <f>COUNTIFS('Raw Data'!$P$3:$P$94,Analysis!B69,'Raw Data'!$E$3:$E$94,C69)</f>
        <v>1</v>
      </c>
    </row>
    <row r="70" spans="1:4">
      <c r="A70" s="18" t="s">
        <v>265</v>
      </c>
      <c r="B70" s="22">
        <v>2021</v>
      </c>
      <c r="C70" s="18" t="s">
        <v>239</v>
      </c>
      <c r="D70" s="18">
        <f>COUNTIFS('Raw Data'!$P$3:$P$94,Analysis!B70,'Raw Data'!$E$3:$E$94,C70)</f>
        <v>0</v>
      </c>
    </row>
    <row r="71" spans="1:4">
      <c r="A71" s="18" t="s">
        <v>266</v>
      </c>
      <c r="B71" s="22">
        <v>2022</v>
      </c>
      <c r="C71" s="18" t="s">
        <v>239</v>
      </c>
      <c r="D71" s="18">
        <f>COUNTIFS('Raw Data'!$P$3:$P$94,Analysis!B71,'Raw Data'!$E$3:$E$94,C71)</f>
        <v>0</v>
      </c>
    </row>
    <row r="72" spans="1:4">
      <c r="A72" s="18" t="s">
        <v>267</v>
      </c>
      <c r="B72" s="22">
        <v>2023</v>
      </c>
      <c r="C72" s="18" t="s">
        <v>239</v>
      </c>
      <c r="D72" s="18">
        <f>COUNTIFS('Raw Data'!$P$3:$P$94,Analysis!B72,'Raw Data'!$E$3:$E$94,C72)</f>
        <v>0</v>
      </c>
    </row>
    <row r="73" spans="1:4">
      <c r="A73" s="18" t="s">
        <v>268</v>
      </c>
      <c r="B73" s="22">
        <v>2024</v>
      </c>
      <c r="C73" s="18" t="s">
        <v>239</v>
      </c>
      <c r="D73" s="18">
        <f>COUNTIFS('Raw Data'!$P$3:$P$94,Analysis!B73,'Raw Data'!$E$3:$E$94,C73)</f>
        <v>0</v>
      </c>
    </row>
    <row r="74" spans="1:4">
      <c r="A74" s="18" t="s">
        <v>269</v>
      </c>
      <c r="B74" s="22">
        <v>2025</v>
      </c>
      <c r="C74" s="18" t="s">
        <v>239</v>
      </c>
      <c r="D74" s="18">
        <f>COUNTIFS('Raw Data'!$P$3:$P$94,Analysis!B74,'Raw Data'!$E$3:$E$94,C74)</f>
        <v>0</v>
      </c>
    </row>
    <row r="75" spans="1:4">
      <c r="A75" s="18" t="s">
        <v>270</v>
      </c>
      <c r="B75" s="22" t="s">
        <v>270</v>
      </c>
      <c r="C75" s="18" t="s">
        <v>239</v>
      </c>
      <c r="D75" s="18">
        <f>COUNTIFS('Raw Data'!$P$3:$P$94,Analysis!B75,'Raw Data'!$E$3:$E$94,C75)</f>
        <v>15</v>
      </c>
    </row>
    <row r="76" spans="1:4">
      <c r="A76" s="16" t="s">
        <v>241</v>
      </c>
      <c r="B76" s="16"/>
      <c r="C76" s="16"/>
      <c r="D76" s="18">
        <f>SUM(D66:D75)</f>
        <v>92</v>
      </c>
    </row>
    <row r="78" spans="1:4">
      <c r="A78" s="15" t="s">
        <v>272</v>
      </c>
      <c r="B78" s="15"/>
      <c r="C78" s="15"/>
    </row>
    <row r="79" spans="1:4">
      <c r="A79" s="16" t="s">
        <v>258</v>
      </c>
      <c r="B79" s="16" t="s">
        <v>259</v>
      </c>
      <c r="C79" s="16" t="s">
        <v>237</v>
      </c>
      <c r="D79" s="16" t="s">
        <v>238</v>
      </c>
    </row>
    <row r="80" spans="1:4">
      <c r="A80" s="18" t="s">
        <v>260</v>
      </c>
      <c r="B80" s="22" t="s">
        <v>261</v>
      </c>
      <c r="C80" s="18" t="s">
        <v>240</v>
      </c>
      <c r="D80" s="18">
        <f>COUNTIF('Raw Data'!X3:X94,"&lt;2018")</f>
        <v>3</v>
      </c>
    </row>
    <row r="81" spans="1:4">
      <c r="A81" s="18" t="s">
        <v>262</v>
      </c>
      <c r="B81" s="22">
        <v>2018</v>
      </c>
      <c r="C81" s="18" t="s">
        <v>240</v>
      </c>
      <c r="D81" s="18">
        <f>COUNTIFS('Raw Data'!$X$3:$X$94,Analysis!B81,'Raw Data'!$F$3:$F$94,C81)</f>
        <v>1</v>
      </c>
    </row>
    <row r="82" spans="1:4">
      <c r="A82" s="18" t="s">
        <v>263</v>
      </c>
      <c r="B82" s="22">
        <v>2019</v>
      </c>
      <c r="C82" s="18" t="s">
        <v>240</v>
      </c>
      <c r="D82" s="18">
        <f>COUNTIFS('Raw Data'!$X$3:$X$94,Analysis!B82,'Raw Data'!$F$3:$F$94,C82)</f>
        <v>12</v>
      </c>
    </row>
    <row r="83" spans="1:4">
      <c r="A83" s="18" t="s">
        <v>264</v>
      </c>
      <c r="B83" s="22">
        <v>2020</v>
      </c>
      <c r="C83" s="18" t="s">
        <v>240</v>
      </c>
      <c r="D83" s="18">
        <f>COUNTIFS('Raw Data'!$X$3:$X$94,Analysis!B83,'Raw Data'!$F$3:$F$94,C83)</f>
        <v>1</v>
      </c>
    </row>
    <row r="84" spans="1:4">
      <c r="A84" s="18" t="s">
        <v>265</v>
      </c>
      <c r="B84" s="22">
        <v>2021</v>
      </c>
      <c r="C84" s="18" t="s">
        <v>240</v>
      </c>
      <c r="D84" s="18">
        <f>COUNTIFS('Raw Data'!$X$3:$X$94,Analysis!B84,'Raw Data'!$F$3:$F$94,C84)</f>
        <v>0</v>
      </c>
    </row>
    <row r="85" spans="1:4">
      <c r="A85" s="18" t="s">
        <v>266</v>
      </c>
      <c r="B85" s="22">
        <v>2022</v>
      </c>
      <c r="C85" s="18" t="s">
        <v>240</v>
      </c>
      <c r="D85" s="18">
        <f>COUNTIFS('Raw Data'!$X$3:$X$94,Analysis!B85,'Raw Data'!$F$3:$F$94,C85)</f>
        <v>0</v>
      </c>
    </row>
    <row r="86" spans="1:4">
      <c r="A86" s="18" t="s">
        <v>267</v>
      </c>
      <c r="B86" s="22">
        <v>2023</v>
      </c>
      <c r="C86" s="18" t="s">
        <v>240</v>
      </c>
      <c r="D86" s="18">
        <f>COUNTIFS('Raw Data'!$X$3:$X$94,Analysis!B86,'Raw Data'!$F$3:$F$94,C86)</f>
        <v>0</v>
      </c>
    </row>
    <row r="87" spans="1:4">
      <c r="A87" s="18" t="s">
        <v>268</v>
      </c>
      <c r="B87" s="22">
        <v>2024</v>
      </c>
      <c r="C87" s="18" t="s">
        <v>240</v>
      </c>
      <c r="D87" s="18">
        <f>COUNTIFS('Raw Data'!$X$3:$X$94,Analysis!B87,'Raw Data'!$F$3:$F$94,C87)</f>
        <v>0</v>
      </c>
    </row>
    <row r="88" spans="1:4">
      <c r="A88" s="18" t="s">
        <v>269</v>
      </c>
      <c r="B88" s="22">
        <v>2025</v>
      </c>
      <c r="C88" s="18" t="s">
        <v>240</v>
      </c>
      <c r="D88" s="18">
        <f>COUNTIFS('Raw Data'!$X$3:$X$94,Analysis!B88,'Raw Data'!$F$3:$F$94,C88)</f>
        <v>0</v>
      </c>
    </row>
    <row r="89" spans="1:4">
      <c r="A89" s="18" t="s">
        <v>270</v>
      </c>
      <c r="B89" s="22" t="s">
        <v>270</v>
      </c>
      <c r="C89" s="18" t="s">
        <v>240</v>
      </c>
      <c r="D89" s="18">
        <f>COUNTIFS('Raw Data'!$X$3:$X$94,Analysis!B89,'Raw Data'!$F$3:$F$94,C89)</f>
        <v>1</v>
      </c>
    </row>
    <row r="90" spans="1:4">
      <c r="A90" s="16" t="s">
        <v>241</v>
      </c>
      <c r="B90" s="16"/>
      <c r="C90" s="16"/>
      <c r="D90" s="18">
        <f>SUM(D80:D89)</f>
        <v>18</v>
      </c>
    </row>
  </sheetData>
  <phoneticPr fontId="8"/>
  <pageMargins left="0.70866141732283472" right="0.70866141732283472" top="0.74803149606299213" bottom="0.74803149606299213" header="0.31496062992125984" footer="0.31496062992125984"/>
  <pageSetup paperSize="9" fitToHeight="0" orientation="portrait" r:id="rId1"/>
  <rowBreaks count="1" manualBreakCount="1">
    <brk id="6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38CC-DD10-481C-BB7E-A2E249F9574A}">
  <dimension ref="A1:F77"/>
  <sheetViews>
    <sheetView workbookViewId="0">
      <selection activeCell="E6" sqref="E6"/>
    </sheetView>
  </sheetViews>
  <sheetFormatPr baseColWidth="10" defaultColWidth="8.90625" defaultRowHeight="14"/>
  <cols>
    <col min="1" max="2" width="20.81640625" style="29" customWidth="1"/>
    <col min="3" max="3" width="22.81640625" style="29" bestFit="1" customWidth="1"/>
    <col min="4" max="4" width="20.81640625" style="29" hidden="1" customWidth="1"/>
    <col min="5" max="10" width="20.81640625" style="29" customWidth="1"/>
    <col min="11" max="16384" width="8.90625" style="29"/>
  </cols>
  <sheetData>
    <row r="1" spans="1:6">
      <c r="A1" s="28" t="s">
        <v>282</v>
      </c>
    </row>
    <row r="2" spans="1:6">
      <c r="A2" s="80" t="s">
        <v>283</v>
      </c>
      <c r="B2" s="80" t="s">
        <v>284</v>
      </c>
      <c r="C2" s="80" t="s">
        <v>285</v>
      </c>
      <c r="D2" s="80" t="s">
        <v>285</v>
      </c>
      <c r="E2" s="30" t="s">
        <v>282</v>
      </c>
      <c r="F2" s="30"/>
    </row>
    <row r="3" spans="1:6">
      <c r="A3" s="80"/>
      <c r="B3" s="80"/>
      <c r="C3" s="80"/>
      <c r="D3" s="80"/>
      <c r="E3" s="31" t="s">
        <v>286</v>
      </c>
      <c r="F3" s="31" t="s">
        <v>287</v>
      </c>
    </row>
    <row r="4" spans="1:6" hidden="1">
      <c r="A4" s="32"/>
      <c r="B4" s="32"/>
      <c r="C4" s="32"/>
      <c r="D4" s="32"/>
      <c r="E4" s="33" t="s">
        <v>288</v>
      </c>
      <c r="F4" s="33" t="s">
        <v>289</v>
      </c>
    </row>
    <row r="5" spans="1:6">
      <c r="A5" s="32" t="s">
        <v>209</v>
      </c>
      <c r="B5" s="32" t="s">
        <v>124</v>
      </c>
      <c r="C5" s="32" t="s">
        <v>290</v>
      </c>
      <c r="D5" s="32" t="s">
        <v>291</v>
      </c>
      <c r="E5" s="32">
        <f>COUNTIFS('Raw Data'!$G$3:$G$94,Analysis_Commune!$B5,'Raw Data'!$E$3:$E$94,Analysis_Commune!$D5,'Raw Data'!$O$3:$O$94,Analysis_Commune!E$4)</f>
        <v>2</v>
      </c>
      <c r="F5" s="32">
        <f>COUNTIFS('Raw Data'!$G$3:$G$94,Analysis_Commune!$B5,'Raw Data'!$E$3:$E$94,Analysis_Commune!$D5,'Raw Data'!$O$3:$O$94,Analysis_Commune!F$4)</f>
        <v>0</v>
      </c>
    </row>
    <row r="6" spans="1:6">
      <c r="A6" s="30" t="s">
        <v>292</v>
      </c>
      <c r="B6" s="30"/>
      <c r="C6" s="30"/>
      <c r="D6" s="32"/>
      <c r="E6" s="32">
        <f>SUM(E5)</f>
        <v>2</v>
      </c>
      <c r="F6" s="32">
        <f>SUM(F5)</f>
        <v>0</v>
      </c>
    </row>
    <row r="7" spans="1:6">
      <c r="A7" s="32" t="s">
        <v>154</v>
      </c>
      <c r="B7" s="32" t="s">
        <v>154</v>
      </c>
      <c r="C7" s="32" t="s">
        <v>290</v>
      </c>
      <c r="D7" s="32" t="s">
        <v>291</v>
      </c>
      <c r="E7" s="32">
        <f>COUNTIFS('Raw Data'!$G$3:$G$94,Analysis_Commune!$B7,'Raw Data'!$E$3:$E$94,Analysis_Commune!$D7,'Raw Data'!$O$3:$O$94,Analysis_Commune!E$4)</f>
        <v>10</v>
      </c>
      <c r="F7" s="32">
        <f>COUNTIFS('Raw Data'!$G$3:$G$94,Analysis_Commune!$B7,'Raw Data'!$E$3:$E$94,Analysis_Commune!$D7,'Raw Data'!$O$3:$O$94,Analysis_Commune!F$4)</f>
        <v>0</v>
      </c>
    </row>
    <row r="8" spans="1:6">
      <c r="A8" s="30" t="s">
        <v>292</v>
      </c>
      <c r="B8" s="30"/>
      <c r="C8" s="30"/>
      <c r="D8" s="32"/>
      <c r="E8" s="32">
        <f>SUM(E7:E7)</f>
        <v>10</v>
      </c>
      <c r="F8" s="32">
        <f>SUM(F7:F7)</f>
        <v>0</v>
      </c>
    </row>
    <row r="9" spans="1:6">
      <c r="A9" s="32" t="s">
        <v>132</v>
      </c>
      <c r="B9" s="32" t="s">
        <v>132</v>
      </c>
      <c r="C9" s="32" t="s">
        <v>290</v>
      </c>
      <c r="D9" s="32" t="s">
        <v>291</v>
      </c>
      <c r="E9" s="32">
        <f>COUNTIFS('Raw Data'!$G$3:$G$94,Analysis_Commune!$B9,'Raw Data'!$E$3:$E$94,Analysis_Commune!$D9,'Raw Data'!$O$3:$O$94,Analysis_Commune!E$4)</f>
        <v>5</v>
      </c>
      <c r="F9" s="32">
        <f>COUNTIFS('Raw Data'!$G$3:$G$94,Analysis_Commune!$B9,'Raw Data'!$E$3:$E$94,Analysis_Commune!$D9,'Raw Data'!$O$3:$O$94,Analysis_Commune!F$4)</f>
        <v>0</v>
      </c>
    </row>
    <row r="10" spans="1:6">
      <c r="A10" s="30" t="s">
        <v>292</v>
      </c>
      <c r="B10" s="30"/>
      <c r="C10" s="30"/>
      <c r="D10" s="32"/>
      <c r="E10" s="32">
        <f>SUM(E9:E9)</f>
        <v>5</v>
      </c>
      <c r="F10" s="32">
        <f>SUM(F9:F9)</f>
        <v>0</v>
      </c>
    </row>
    <row r="11" spans="1:6">
      <c r="A11" s="32" t="s">
        <v>208</v>
      </c>
      <c r="B11" s="32" t="s">
        <v>159</v>
      </c>
      <c r="C11" s="32" t="s">
        <v>290</v>
      </c>
      <c r="D11" s="32" t="s">
        <v>291</v>
      </c>
      <c r="E11" s="32">
        <f>COUNTIFS('Raw Data'!$G$3:$G$94,Analysis_Commune!$B11,'Raw Data'!$E$3:$E$94,Analysis_Commune!$D11,'Raw Data'!$O$3:$O$94,Analysis_Commune!E$4)</f>
        <v>1</v>
      </c>
      <c r="F11" s="32">
        <f>COUNTIFS('Raw Data'!$G$3:$G$94,Analysis_Commune!$B11,'Raw Data'!$E$3:$E$94,Analysis_Commune!$D11,'Raw Data'!$O$3:$O$94,Analysis_Commune!F$4)</f>
        <v>0</v>
      </c>
    </row>
    <row r="12" spans="1:6">
      <c r="A12" s="32" t="s">
        <v>208</v>
      </c>
      <c r="B12" s="32" t="s">
        <v>305</v>
      </c>
      <c r="C12" s="32" t="s">
        <v>290</v>
      </c>
      <c r="D12" s="32" t="s">
        <v>291</v>
      </c>
      <c r="E12" s="32">
        <f>COUNTIFS('Raw Data'!$G$3:$G$94,Analysis_Commune!$B12,'Raw Data'!$E$3:$E$94,Analysis_Commune!$D12,'Raw Data'!$O$3:$O$94,Analysis_Commune!E$4)</f>
        <v>3</v>
      </c>
      <c r="F12" s="32">
        <f>COUNTIFS('Raw Data'!$G$3:$G$94,Analysis_Commune!$B12,'Raw Data'!$E$3:$E$94,Analysis_Commune!$D12,'Raw Data'!$O$3:$O$94,Analysis_Commune!F$4)</f>
        <v>2</v>
      </c>
    </row>
    <row r="13" spans="1:6">
      <c r="A13" s="32" t="s">
        <v>208</v>
      </c>
      <c r="B13" s="32" t="s">
        <v>163</v>
      </c>
      <c r="C13" s="32" t="s">
        <v>290</v>
      </c>
      <c r="D13" s="32" t="s">
        <v>291</v>
      </c>
      <c r="E13" s="32">
        <f>COUNTIFS('Raw Data'!$G$3:$G$94,Analysis_Commune!$B13,'Raw Data'!$E$3:$E$94,Analysis_Commune!$D13,'Raw Data'!$O$3:$O$94,Analysis_Commune!E$4)</f>
        <v>1</v>
      </c>
      <c r="F13" s="32">
        <f>COUNTIFS('Raw Data'!$G$3:$G$94,Analysis_Commune!$B13,'Raw Data'!$E$3:$E$94,Analysis_Commune!$D13,'Raw Data'!$O$3:$O$94,Analysis_Commune!F$4)</f>
        <v>0</v>
      </c>
    </row>
    <row r="14" spans="1:6">
      <c r="A14" s="32" t="s">
        <v>208</v>
      </c>
      <c r="B14" s="32" t="s">
        <v>165</v>
      </c>
      <c r="C14" s="32" t="s">
        <v>290</v>
      </c>
      <c r="D14" s="32" t="s">
        <v>291</v>
      </c>
      <c r="E14" s="32">
        <f>COUNTIFS('Raw Data'!$G$3:$G$94,Analysis_Commune!$B14,'Raw Data'!$E$3:$E$94,Analysis_Commune!$D14,'Raw Data'!$O$3:$O$94,Analysis_Commune!E$4)</f>
        <v>3</v>
      </c>
      <c r="F14" s="32">
        <f>COUNTIFS('Raw Data'!$G$3:$G$94,Analysis_Commune!$B14,'Raw Data'!$E$3:$E$94,Analysis_Commune!$D14,'Raw Data'!$O$3:$O$94,Analysis_Commune!F$4)</f>
        <v>0</v>
      </c>
    </row>
    <row r="15" spans="1:6">
      <c r="A15" s="30" t="s">
        <v>292</v>
      </c>
      <c r="B15" s="30"/>
      <c r="C15" s="30"/>
      <c r="D15" s="32"/>
      <c r="E15" s="32">
        <f>SUM(E11:E14)</f>
        <v>8</v>
      </c>
      <c r="F15" s="32">
        <f>SUM(F11:F14)</f>
        <v>2</v>
      </c>
    </row>
    <row r="16" spans="1:6">
      <c r="A16" s="32" t="s">
        <v>299</v>
      </c>
      <c r="B16" s="32" t="s">
        <v>114</v>
      </c>
      <c r="C16" s="32" t="s">
        <v>290</v>
      </c>
      <c r="D16" s="32" t="s">
        <v>291</v>
      </c>
      <c r="E16" s="32">
        <f>COUNTIFS('Raw Data'!$G$3:$G$94,Analysis_Commune!$B16,'Raw Data'!$E$3:$E$94,Analysis_Commune!$D16,'Raw Data'!$O$3:$O$94,Analysis_Commune!E$4)</f>
        <v>12</v>
      </c>
      <c r="F16" s="32">
        <f>COUNTIFS('Raw Data'!$G$3:$G$94,Analysis_Commune!$B16,'Raw Data'!$E$3:$E$94,Analysis_Commune!$D16,'Raw Data'!$O$3:$O$94,Analysis_Commune!F$4)</f>
        <v>0</v>
      </c>
    </row>
    <row r="17" spans="1:6">
      <c r="A17" s="30" t="s">
        <v>292</v>
      </c>
      <c r="B17" s="30"/>
      <c r="C17" s="30"/>
      <c r="D17" s="32"/>
      <c r="E17" s="32">
        <f>SUM(E16)</f>
        <v>12</v>
      </c>
      <c r="F17" s="32">
        <f>SUM(F16)</f>
        <v>0</v>
      </c>
    </row>
    <row r="18" spans="1:6">
      <c r="A18" s="32" t="s">
        <v>78</v>
      </c>
      <c r="B18" s="32" t="s">
        <v>78</v>
      </c>
      <c r="C18" s="32" t="s">
        <v>290</v>
      </c>
      <c r="D18" s="32" t="s">
        <v>291</v>
      </c>
      <c r="E18" s="32">
        <f>COUNTIFS('Raw Data'!$G$3:$G$94,Analysis_Commune!$B18,'Raw Data'!$E$3:$E$94,Analysis_Commune!$D18,'Raw Data'!$O$3:$O$94,Analysis_Commune!E$4)</f>
        <v>0</v>
      </c>
      <c r="F18" s="32">
        <f>COUNTIFS('Raw Data'!$G$3:$G$94,Analysis_Commune!$B18,'Raw Data'!$E$3:$E$94,Analysis_Commune!$D18,'Raw Data'!$O$3:$O$94,Analysis_Commune!F$4)</f>
        <v>1</v>
      </c>
    </row>
    <row r="19" spans="1:6">
      <c r="A19" s="32" t="s">
        <v>78</v>
      </c>
      <c r="B19" s="32" t="s">
        <v>98</v>
      </c>
      <c r="C19" s="32" t="s">
        <v>290</v>
      </c>
      <c r="D19" s="32" t="s">
        <v>291</v>
      </c>
      <c r="E19" s="32">
        <f>COUNTIFS('Raw Data'!$G$3:$G$94,Analysis_Commune!$B19,'Raw Data'!$E$3:$E$94,Analysis_Commune!$D19,'Raw Data'!$O$3:$O$94,Analysis_Commune!E$4)</f>
        <v>1</v>
      </c>
      <c r="F19" s="32">
        <f>COUNTIFS('Raw Data'!$G$3:$G$94,Analysis_Commune!$B19,'Raw Data'!$E$3:$E$94,Analysis_Commune!$D19,'Raw Data'!$O$3:$O$94,Analysis_Commune!F$4)</f>
        <v>0</v>
      </c>
    </row>
    <row r="20" spans="1:6">
      <c r="A20" s="30" t="s">
        <v>292</v>
      </c>
      <c r="B20" s="30"/>
      <c r="C20" s="30"/>
      <c r="D20" s="32"/>
      <c r="E20" s="32">
        <f>SUM(E18:E19)</f>
        <v>1</v>
      </c>
      <c r="F20" s="32">
        <f>SUM(F18:F19)</f>
        <v>1</v>
      </c>
    </row>
    <row r="21" spans="1:6">
      <c r="A21" s="32" t="s">
        <v>21</v>
      </c>
      <c r="B21" s="32" t="s">
        <v>25</v>
      </c>
      <c r="C21" s="32" t="s">
        <v>290</v>
      </c>
      <c r="D21" s="32" t="s">
        <v>291</v>
      </c>
      <c r="E21" s="32">
        <f>COUNTIFS('Raw Data'!$G$3:$G$94,Analysis_Commune!$B21,'Raw Data'!$E$3:$E$94,Analysis_Commune!$D21,'Raw Data'!$O$3:$O$94,Analysis_Commune!E$4)</f>
        <v>6</v>
      </c>
      <c r="F21" s="32">
        <f>COUNTIFS('Raw Data'!$G$3:$G$94,Analysis_Commune!$B21,'Raw Data'!$E$3:$E$94,Analysis_Commune!$D21,'Raw Data'!$O$3:$O$94,Analysis_Commune!F$4)</f>
        <v>1</v>
      </c>
    </row>
    <row r="22" spans="1:6">
      <c r="A22" s="32" t="s">
        <v>21</v>
      </c>
      <c r="B22" s="32" t="s">
        <v>21</v>
      </c>
      <c r="C22" s="32" t="s">
        <v>290</v>
      </c>
      <c r="D22" s="32" t="s">
        <v>291</v>
      </c>
      <c r="E22" s="32">
        <f>COUNTIFS('Raw Data'!$G$3:$G$94,Analysis_Commune!$B22,'Raw Data'!$E$3:$E$94,Analysis_Commune!$D22,'Raw Data'!$O$3:$O$94,Analysis_Commune!E$4)</f>
        <v>3</v>
      </c>
      <c r="F22" s="32">
        <f>COUNTIFS('Raw Data'!$G$3:$G$94,Analysis_Commune!$B22,'Raw Data'!$E$3:$E$94,Analysis_Commune!$D22,'Raw Data'!$O$3:$O$94,Analysis_Commune!F$4)</f>
        <v>1</v>
      </c>
    </row>
    <row r="23" spans="1:6">
      <c r="A23" s="32" t="s">
        <v>21</v>
      </c>
      <c r="B23" s="32" t="s">
        <v>76</v>
      </c>
      <c r="C23" s="32" t="s">
        <v>290</v>
      </c>
      <c r="D23" s="32" t="s">
        <v>291</v>
      </c>
      <c r="E23" s="32">
        <f>COUNTIFS('Raw Data'!$G$3:$G$94,Analysis_Commune!$B23,'Raw Data'!$E$3:$E$94,Analysis_Commune!$D23,'Raw Data'!$O$3:$O$94,Analysis_Commune!E$4)</f>
        <v>3</v>
      </c>
      <c r="F23" s="32">
        <f>COUNTIFS('Raw Data'!$G$3:$G$94,Analysis_Commune!$B23,'Raw Data'!$E$3:$E$94,Analysis_Commune!$D23,'Raw Data'!$O$3:$O$94,Analysis_Commune!F$4)</f>
        <v>1</v>
      </c>
    </row>
    <row r="24" spans="1:6">
      <c r="A24" s="32" t="s">
        <v>21</v>
      </c>
      <c r="B24" s="32" t="s">
        <v>229</v>
      </c>
      <c r="C24" s="32" t="s">
        <v>290</v>
      </c>
      <c r="D24" s="32" t="s">
        <v>291</v>
      </c>
      <c r="E24" s="32">
        <f>COUNTIFS('Raw Data'!$G$3:$G$94,Analysis_Commune!$B24,'Raw Data'!$E$3:$E$94,Analysis_Commune!$D24,'Raw Data'!$O$3:$O$94,Analysis_Commune!E$4)</f>
        <v>1</v>
      </c>
      <c r="F24" s="32">
        <f>COUNTIFS('Raw Data'!$G$3:$G$94,Analysis_Commune!$B24,'Raw Data'!$E$3:$E$94,Analysis_Commune!$D24,'Raw Data'!$O$3:$O$94,Analysis_Commune!F$4)</f>
        <v>0</v>
      </c>
    </row>
    <row r="25" spans="1:6">
      <c r="A25" s="30" t="s">
        <v>292</v>
      </c>
      <c r="B25" s="30"/>
      <c r="C25" s="30"/>
      <c r="D25" s="32"/>
      <c r="E25" s="32">
        <f>SUM(E21:E24)</f>
        <v>13</v>
      </c>
      <c r="F25" s="32">
        <f>SUM(F21:F24)</f>
        <v>3</v>
      </c>
    </row>
    <row r="26" spans="1:6">
      <c r="A26" s="32" t="s">
        <v>55</v>
      </c>
      <c r="B26" s="32" t="s">
        <v>49</v>
      </c>
      <c r="C26" s="32" t="s">
        <v>290</v>
      </c>
      <c r="D26" s="32" t="s">
        <v>291</v>
      </c>
      <c r="E26" s="32">
        <f>COUNTIFS('Raw Data'!$G$3:$G$94,Analysis_Commune!$B26,'Raw Data'!$E$3:$E$94,Analysis_Commune!$D26,'Raw Data'!$O$3:$O$94,Analysis_Commune!E$4)</f>
        <v>1</v>
      </c>
      <c r="F26" s="32">
        <f>COUNTIFS('Raw Data'!$G$3:$G$94,Analysis_Commune!$B26,'Raw Data'!$E$3:$E$94,Analysis_Commune!$D26,'Raw Data'!$O$3:$O$94,Analysis_Commune!F$4)</f>
        <v>0</v>
      </c>
    </row>
    <row r="27" spans="1:6">
      <c r="A27" s="32" t="s">
        <v>55</v>
      </c>
      <c r="B27" s="32" t="s">
        <v>55</v>
      </c>
      <c r="C27" s="32" t="s">
        <v>290</v>
      </c>
      <c r="D27" s="32" t="s">
        <v>291</v>
      </c>
      <c r="E27" s="32">
        <f>COUNTIFS('Raw Data'!$G$3:$G$94,Analysis_Commune!$B27,'Raw Data'!$E$3:$E$94,Analysis_Commune!$D27,'Raw Data'!$O$3:$O$94,Analysis_Commune!E$4)</f>
        <v>12</v>
      </c>
      <c r="F27" s="32">
        <f>COUNTIFS('Raw Data'!$G$3:$G$94,Analysis_Commune!$B27,'Raw Data'!$E$3:$E$94,Analysis_Commune!$D27,'Raw Data'!$O$3:$O$94,Analysis_Commune!F$4)</f>
        <v>7</v>
      </c>
    </row>
    <row r="28" spans="1:6">
      <c r="A28" s="32" t="s">
        <v>55</v>
      </c>
      <c r="B28" s="32" t="s">
        <v>216</v>
      </c>
      <c r="C28" s="32" t="s">
        <v>290</v>
      </c>
      <c r="D28" s="32" t="s">
        <v>291</v>
      </c>
      <c r="E28" s="32">
        <f>COUNTIFS('Raw Data'!$G$3:$G$94,Analysis_Commune!$B28,'Raw Data'!$E$3:$E$94,Analysis_Commune!$D28,'Raw Data'!$O$3:$O$94,Analysis_Commune!E$4)</f>
        <v>1</v>
      </c>
      <c r="F28" s="32">
        <f>COUNTIFS('Raw Data'!$G$3:$G$94,Analysis_Commune!$B28,'Raw Data'!$E$3:$E$94,Analysis_Commune!$D28,'Raw Data'!$O$3:$O$94,Analysis_Commune!F$4)</f>
        <v>0</v>
      </c>
    </row>
    <row r="29" spans="1:6">
      <c r="A29" s="32" t="s">
        <v>55</v>
      </c>
      <c r="B29" s="32" t="s">
        <v>17</v>
      </c>
      <c r="C29" s="32" t="s">
        <v>290</v>
      </c>
      <c r="D29" s="32" t="s">
        <v>291</v>
      </c>
      <c r="E29" s="32">
        <f>COUNTIFS('Raw Data'!$G$3:$G$94,Analysis_Commune!$B29,'Raw Data'!$E$3:$E$94,Analysis_Commune!$D29,'Raw Data'!$O$3:$O$94,Analysis_Commune!E$4)</f>
        <v>2</v>
      </c>
      <c r="F29" s="32">
        <f>COUNTIFS('Raw Data'!$G$3:$G$94,Analysis_Commune!$B29,'Raw Data'!$E$3:$E$94,Analysis_Commune!$D29,'Raw Data'!$O$3:$O$94,Analysis_Commune!F$4)</f>
        <v>0</v>
      </c>
    </row>
    <row r="30" spans="1:6">
      <c r="A30" s="30" t="s">
        <v>292</v>
      </c>
      <c r="B30" s="30"/>
      <c r="C30" s="30"/>
      <c r="D30" s="32"/>
      <c r="E30" s="32">
        <f>SUM(E26:E29)</f>
        <v>16</v>
      </c>
      <c r="F30" s="32">
        <f>SUM(F26:F29)</f>
        <v>7</v>
      </c>
    </row>
    <row r="31" spans="1:6">
      <c r="A31" s="32" t="s">
        <v>98</v>
      </c>
      <c r="B31" s="32" t="s">
        <v>218</v>
      </c>
      <c r="C31" s="32" t="s">
        <v>290</v>
      </c>
      <c r="D31" s="32" t="s">
        <v>291</v>
      </c>
      <c r="E31" s="32">
        <f>COUNTIFS('Raw Data'!$G$3:$G$94,Analysis_Commune!$B31,'Raw Data'!$E$3:$E$94,Analysis_Commune!$D31,'Raw Data'!$O$3:$O$94,Analysis_Commune!E$4)</f>
        <v>1</v>
      </c>
      <c r="F31" s="32">
        <f>COUNTIFS('Raw Data'!$G$3:$G$94,Analysis_Commune!$B31,'Raw Data'!$E$3:$E$94,Analysis_Commune!$D31,'Raw Data'!$O$3:$O$94,Analysis_Commune!F$4)</f>
        <v>0</v>
      </c>
    </row>
    <row r="32" spans="1:6">
      <c r="A32" s="32" t="s">
        <v>98</v>
      </c>
      <c r="B32" s="32" t="s">
        <v>222</v>
      </c>
      <c r="C32" s="32" t="s">
        <v>290</v>
      </c>
      <c r="D32" s="32" t="s">
        <v>291</v>
      </c>
      <c r="E32" s="32">
        <f>COUNTIFS('Raw Data'!$G$3:$G$94,Analysis_Commune!$B32,'Raw Data'!$E$3:$E$94,Analysis_Commune!$D32,'Raw Data'!$O$3:$O$94,Analysis_Commune!E$4)</f>
        <v>0</v>
      </c>
      <c r="F32" s="32">
        <f>COUNTIFS('Raw Data'!$G$3:$G$94,Analysis_Commune!$B32,'Raw Data'!$E$3:$E$94,Analysis_Commune!$D32,'Raw Data'!$O$3:$O$94,Analysis_Commune!F$4)</f>
        <v>0</v>
      </c>
    </row>
    <row r="33" spans="1:6">
      <c r="A33" s="30" t="s">
        <v>292</v>
      </c>
      <c r="B33" s="30"/>
      <c r="C33" s="30"/>
      <c r="D33" s="32"/>
      <c r="E33" s="32">
        <f>SUM(E31:E32)</f>
        <v>1</v>
      </c>
      <c r="F33" s="32">
        <f>SUM(F31:F32)</f>
        <v>0</v>
      </c>
    </row>
    <row r="34" spans="1:6">
      <c r="A34" s="32" t="s">
        <v>5</v>
      </c>
      <c r="B34" s="32" t="s">
        <v>14</v>
      </c>
      <c r="C34" s="32" t="s">
        <v>290</v>
      </c>
      <c r="D34" s="32" t="s">
        <v>291</v>
      </c>
      <c r="E34" s="32">
        <f>COUNTIFS('Raw Data'!$G$3:$G$94,Analysis_Commune!$B34,'Raw Data'!$E$3:$E$94,Analysis_Commune!$D34,'Raw Data'!$O$3:$O$94,Analysis_Commune!E$4)</f>
        <v>3</v>
      </c>
      <c r="F34" s="32">
        <f>COUNTIFS('Raw Data'!$G$3:$G$94,Analysis_Commune!$B34,'Raw Data'!$E$3:$E$94,Analysis_Commune!$D34,'Raw Data'!$O$3:$O$94,Analysis_Commune!F$4)</f>
        <v>1</v>
      </c>
    </row>
    <row r="35" spans="1:6">
      <c r="A35" s="32" t="s">
        <v>5</v>
      </c>
      <c r="B35" s="32" t="s">
        <v>12</v>
      </c>
      <c r="C35" s="32" t="s">
        <v>290</v>
      </c>
      <c r="D35" s="32" t="s">
        <v>291</v>
      </c>
      <c r="E35" s="32">
        <f>COUNTIFS('Raw Data'!$G$3:$G$94,Analysis_Commune!$B35,'Raw Data'!$E$3:$E$94,Analysis_Commune!$D35,'Raw Data'!$O$3:$O$94,Analysis_Commune!E$4)</f>
        <v>1</v>
      </c>
      <c r="F35" s="32">
        <f>COUNTIFS('Raw Data'!$G$3:$G$94,Analysis_Commune!$B35,'Raw Data'!$E$3:$E$94,Analysis_Commune!$D35,'Raw Data'!$O$3:$O$94,Analysis_Commune!F$4)</f>
        <v>0</v>
      </c>
    </row>
    <row r="36" spans="1:6">
      <c r="A36" s="32" t="s">
        <v>5</v>
      </c>
      <c r="B36" s="32" t="s">
        <v>5</v>
      </c>
      <c r="C36" s="32" t="s">
        <v>290</v>
      </c>
      <c r="D36" s="32" t="s">
        <v>291</v>
      </c>
      <c r="E36" s="32">
        <f>COUNTIFS('Raw Data'!$G$3:$G$94,Analysis_Commune!$B36,'Raw Data'!$E$3:$E$94,Analysis_Commune!$D36,'Raw Data'!$O$3:$O$94,Analysis_Commune!E$4)</f>
        <v>1</v>
      </c>
      <c r="F36" s="32">
        <f>COUNTIFS('Raw Data'!$G$3:$G$94,Analysis_Commune!$B36,'Raw Data'!$E$3:$E$94,Analysis_Commune!$D36,'Raw Data'!$O$3:$O$94,Analysis_Commune!F$4)</f>
        <v>0</v>
      </c>
    </row>
    <row r="37" spans="1:6">
      <c r="A37" s="30" t="s">
        <v>292</v>
      </c>
      <c r="B37" s="30"/>
      <c r="C37" s="30"/>
      <c r="D37" s="32"/>
      <c r="E37" s="32">
        <f>SUM(E34:E36)</f>
        <v>5</v>
      </c>
      <c r="F37" s="32">
        <f>SUM(F34:F36)</f>
        <v>1</v>
      </c>
    </row>
    <row r="38" spans="1:6">
      <c r="A38" s="30" t="s">
        <v>293</v>
      </c>
      <c r="B38" s="30"/>
      <c r="C38" s="30"/>
      <c r="D38" s="32"/>
      <c r="E38" s="34">
        <f>SUMIF($A5:$A37,"Sous-total",E5:E37)</f>
        <v>73</v>
      </c>
      <c r="F38" s="34">
        <f>SUMIF($A5:$A37,"Sous-total",F5:F37)</f>
        <v>14</v>
      </c>
    </row>
    <row r="40" spans="1:6">
      <c r="A40" s="28" t="s">
        <v>294</v>
      </c>
    </row>
    <row r="41" spans="1:6">
      <c r="A41" s="80" t="s">
        <v>283</v>
      </c>
      <c r="B41" s="80" t="s">
        <v>284</v>
      </c>
      <c r="C41" s="80" t="s">
        <v>285</v>
      </c>
      <c r="D41" s="80" t="s">
        <v>285</v>
      </c>
      <c r="E41" s="30" t="s">
        <v>282</v>
      </c>
      <c r="F41" s="30"/>
    </row>
    <row r="42" spans="1:6">
      <c r="A42" s="80"/>
      <c r="B42" s="80"/>
      <c r="C42" s="80"/>
      <c r="D42" s="80"/>
      <c r="E42" s="31" t="s">
        <v>286</v>
      </c>
      <c r="F42" s="31" t="s">
        <v>287</v>
      </c>
    </row>
    <row r="43" spans="1:6">
      <c r="A43" s="32"/>
      <c r="B43" s="32"/>
      <c r="C43" s="32"/>
      <c r="D43" s="32"/>
      <c r="E43" s="33" t="s">
        <v>288</v>
      </c>
      <c r="F43" s="33" t="s">
        <v>289</v>
      </c>
    </row>
    <row r="44" spans="1:6">
      <c r="A44" s="32" t="s">
        <v>209</v>
      </c>
      <c r="B44" s="32" t="s">
        <v>124</v>
      </c>
      <c r="C44" s="18" t="s">
        <v>295</v>
      </c>
      <c r="D44" s="32" t="s">
        <v>296</v>
      </c>
      <c r="E44" s="32">
        <f>COUNTIFS('Raw Data'!$G$3:$G$94,Analysis_Commune!$B44,'Raw Data'!$F$3:$F$94,Analysis_Commune!$D44,'Raw Data'!$W$3:$W$94,Analysis_Commune!E$4)</f>
        <v>0</v>
      </c>
      <c r="F44" s="32">
        <f>COUNTIFS('Raw Data'!$G$3:$G$94,Analysis_Commune!$B44,'Raw Data'!$F$3:$F$94,Analysis_Commune!$D44,'Raw Data'!$W$3:$W$94,Analysis_Commune!F$4)</f>
        <v>0</v>
      </c>
    </row>
    <row r="45" spans="1:6">
      <c r="A45" s="30" t="s">
        <v>292</v>
      </c>
      <c r="B45" s="30"/>
      <c r="C45" s="30"/>
      <c r="D45" s="32"/>
      <c r="E45" s="32">
        <f>SUM(E44)</f>
        <v>0</v>
      </c>
      <c r="F45" s="32">
        <f>SUM(F44)</f>
        <v>0</v>
      </c>
    </row>
    <row r="46" spans="1:6">
      <c r="A46" s="32" t="s">
        <v>154</v>
      </c>
      <c r="B46" s="32" t="s">
        <v>154</v>
      </c>
      <c r="C46" s="18" t="s">
        <v>295</v>
      </c>
      <c r="D46" s="32" t="s">
        <v>296</v>
      </c>
      <c r="E46" s="32">
        <f>COUNTIFS('Raw Data'!$G$3:$G$94,Analysis_Commune!$B46,'Raw Data'!$F$3:$F$94,Analysis_Commune!$D46,'Raw Data'!$W$3:$W$94,Analysis_Commune!E$4)</f>
        <v>2</v>
      </c>
      <c r="F46" s="32">
        <f>COUNTIFS('Raw Data'!$G$3:$G$94,Analysis_Commune!$B46,'Raw Data'!$F$3:$F$94,Analysis_Commune!$D46,'Raw Data'!$W$3:$W$94,Analysis_Commune!F$4)</f>
        <v>0</v>
      </c>
    </row>
    <row r="47" spans="1:6">
      <c r="A47" s="30" t="s">
        <v>292</v>
      </c>
      <c r="B47" s="30"/>
      <c r="C47" s="30"/>
      <c r="D47" s="32"/>
      <c r="E47" s="32">
        <f>SUM(E46:E46)</f>
        <v>2</v>
      </c>
      <c r="F47" s="32">
        <f>SUM(F46:F46)</f>
        <v>0</v>
      </c>
    </row>
    <row r="48" spans="1:6">
      <c r="A48" s="32" t="s">
        <v>132</v>
      </c>
      <c r="B48" s="32" t="s">
        <v>132</v>
      </c>
      <c r="C48" s="18" t="s">
        <v>295</v>
      </c>
      <c r="D48" s="32" t="s">
        <v>296</v>
      </c>
      <c r="E48" s="32">
        <f>COUNTIFS('Raw Data'!$G$3:$G$94,Analysis_Commune!$B48,'Raw Data'!$F$3:$F$94,Analysis_Commune!$D48,'Raw Data'!$W$3:$W$94,Analysis_Commune!E$4)</f>
        <v>2</v>
      </c>
      <c r="F48" s="32">
        <f>COUNTIFS('Raw Data'!$G$3:$G$94,Analysis_Commune!$B48,'Raw Data'!$F$3:$F$94,Analysis_Commune!$D48,'Raw Data'!$W$3:$W$94,Analysis_Commune!F$4)</f>
        <v>0</v>
      </c>
    </row>
    <row r="49" spans="1:6">
      <c r="A49" s="30" t="s">
        <v>292</v>
      </c>
      <c r="B49" s="30"/>
      <c r="C49" s="30"/>
      <c r="D49" s="32"/>
      <c r="E49" s="32">
        <f>SUM(E48:E48)</f>
        <v>2</v>
      </c>
      <c r="F49" s="32">
        <f>SUM(F48:F48)</f>
        <v>0</v>
      </c>
    </row>
    <row r="50" spans="1:6">
      <c r="A50" s="32" t="s">
        <v>208</v>
      </c>
      <c r="B50" s="32" t="s">
        <v>159</v>
      </c>
      <c r="C50" s="18" t="s">
        <v>295</v>
      </c>
      <c r="D50" s="32" t="s">
        <v>296</v>
      </c>
      <c r="E50" s="32">
        <f>COUNTIFS('Raw Data'!$G$3:$G$94,Analysis_Commune!$B50,'Raw Data'!$F$3:$F$94,Analysis_Commune!$D50,'Raw Data'!$W$3:$W$94,Analysis_Commune!E$4)</f>
        <v>0</v>
      </c>
      <c r="F50" s="32">
        <f>COUNTIFS('Raw Data'!$G$3:$G$94,Analysis_Commune!$B50,'Raw Data'!$F$3:$F$94,Analysis_Commune!$D50,'Raw Data'!$W$3:$W$94,Analysis_Commune!F$4)</f>
        <v>0</v>
      </c>
    </row>
    <row r="51" spans="1:6">
      <c r="A51" s="32" t="s">
        <v>208</v>
      </c>
      <c r="B51" s="32" t="s">
        <v>305</v>
      </c>
      <c r="C51" s="18" t="s">
        <v>295</v>
      </c>
      <c r="D51" s="32" t="s">
        <v>296</v>
      </c>
      <c r="E51" s="32">
        <f>COUNTIFS('Raw Data'!$G$3:$G$94,Analysis_Commune!$B51,'Raw Data'!$F$3:$F$94,Analysis_Commune!$D51,'Raw Data'!$W$3:$W$94,Analysis_Commune!E$4)</f>
        <v>0</v>
      </c>
      <c r="F51" s="32">
        <f>COUNTIFS('Raw Data'!$G$3:$G$94,Analysis_Commune!$B51,'Raw Data'!$F$3:$F$94,Analysis_Commune!$D51,'Raw Data'!$W$3:$W$94,Analysis_Commune!F$4)</f>
        <v>0</v>
      </c>
    </row>
    <row r="52" spans="1:6">
      <c r="A52" s="32" t="s">
        <v>208</v>
      </c>
      <c r="B52" s="32" t="s">
        <v>163</v>
      </c>
      <c r="C52" s="18" t="s">
        <v>295</v>
      </c>
      <c r="D52" s="32" t="s">
        <v>296</v>
      </c>
      <c r="E52" s="32">
        <f>COUNTIFS('Raw Data'!$G$3:$G$94,Analysis_Commune!$B52,'Raw Data'!$F$3:$F$94,Analysis_Commune!$D52,'Raw Data'!$W$3:$W$94,Analysis_Commune!E$4)</f>
        <v>0</v>
      </c>
      <c r="F52" s="32">
        <f>COUNTIFS('Raw Data'!$G$3:$G$94,Analysis_Commune!$B52,'Raw Data'!$F$3:$F$94,Analysis_Commune!$D52,'Raw Data'!$W$3:$W$94,Analysis_Commune!F$4)</f>
        <v>0</v>
      </c>
    </row>
    <row r="53" spans="1:6">
      <c r="A53" s="32" t="s">
        <v>208</v>
      </c>
      <c r="B53" s="32" t="s">
        <v>165</v>
      </c>
      <c r="C53" s="18" t="s">
        <v>295</v>
      </c>
      <c r="D53" s="32" t="s">
        <v>296</v>
      </c>
      <c r="E53" s="32">
        <f>COUNTIFS('Raw Data'!$G$3:$G$94,Analysis_Commune!$B53,'Raw Data'!$F$3:$F$94,Analysis_Commune!$D53,'Raw Data'!$W$3:$W$94,Analysis_Commune!E$4)</f>
        <v>0</v>
      </c>
      <c r="F53" s="32">
        <f>COUNTIFS('Raw Data'!$G$3:$G$94,Analysis_Commune!$B53,'Raw Data'!$F$3:$F$94,Analysis_Commune!$D53,'Raw Data'!$W$3:$W$94,Analysis_Commune!F$4)</f>
        <v>1</v>
      </c>
    </row>
    <row r="54" spans="1:6">
      <c r="A54" s="30" t="s">
        <v>292</v>
      </c>
      <c r="B54" s="30"/>
      <c r="C54" s="30"/>
      <c r="D54" s="32"/>
      <c r="E54" s="32">
        <f>SUM(E50:E53)</f>
        <v>0</v>
      </c>
      <c r="F54" s="32">
        <f>SUM(F50:F53)</f>
        <v>1</v>
      </c>
    </row>
    <row r="55" spans="1:6">
      <c r="A55" s="32" t="s">
        <v>299</v>
      </c>
      <c r="B55" s="32" t="s">
        <v>114</v>
      </c>
      <c r="C55" s="18" t="s">
        <v>295</v>
      </c>
      <c r="D55" s="32" t="s">
        <v>296</v>
      </c>
      <c r="E55" s="32">
        <f>COUNTIFS('Raw Data'!$G$3:$G$94,Analysis_Commune!$B55,'Raw Data'!$F$3:$F$94,Analysis_Commune!$D55,'Raw Data'!$W$3:$W$94,Analysis_Commune!E$4)</f>
        <v>2</v>
      </c>
      <c r="F55" s="32">
        <f>COUNTIFS('Raw Data'!$G$3:$G$94,Analysis_Commune!$B55,'Raw Data'!$F$3:$F$94,Analysis_Commune!$D55,'Raw Data'!$W$3:$W$94,Analysis_Commune!F$4)</f>
        <v>0</v>
      </c>
    </row>
    <row r="56" spans="1:6">
      <c r="A56" s="30" t="s">
        <v>292</v>
      </c>
      <c r="B56" s="30"/>
      <c r="C56" s="30"/>
      <c r="D56" s="32"/>
      <c r="E56" s="32">
        <f>SUM(E55)</f>
        <v>2</v>
      </c>
      <c r="F56" s="32">
        <f>SUM(F55)</f>
        <v>0</v>
      </c>
    </row>
    <row r="57" spans="1:6">
      <c r="A57" s="32" t="s">
        <v>78</v>
      </c>
      <c r="B57" s="32" t="s">
        <v>78</v>
      </c>
      <c r="C57" s="18" t="s">
        <v>295</v>
      </c>
      <c r="D57" s="32" t="s">
        <v>296</v>
      </c>
      <c r="E57" s="32">
        <f>COUNTIFS('Raw Data'!$G$3:$G$94,Analysis_Commune!$B57,'Raw Data'!$F$3:$F$94,Analysis_Commune!$D57,'Raw Data'!$W$3:$W$94,Analysis_Commune!E$4)</f>
        <v>0</v>
      </c>
      <c r="F57" s="32">
        <f>COUNTIFS('Raw Data'!$G$3:$G$94,Analysis_Commune!$B57,'Raw Data'!$F$3:$F$94,Analysis_Commune!$D57,'Raw Data'!$W$3:$W$94,Analysis_Commune!F$4)</f>
        <v>0</v>
      </c>
    </row>
    <row r="58" spans="1:6">
      <c r="A58" s="32" t="s">
        <v>78</v>
      </c>
      <c r="B58" s="32" t="s">
        <v>98</v>
      </c>
      <c r="C58" s="18" t="s">
        <v>295</v>
      </c>
      <c r="D58" s="32" t="s">
        <v>296</v>
      </c>
      <c r="E58" s="32">
        <f>COUNTIFS('Raw Data'!$G$3:$G$94,Analysis_Commune!$B58,'Raw Data'!$F$3:$F$94,Analysis_Commune!$D58,'Raw Data'!$W$3:$W$94,Analysis_Commune!E$4)</f>
        <v>0</v>
      </c>
      <c r="F58" s="32">
        <f>COUNTIFS('Raw Data'!$G$3:$G$94,Analysis_Commune!$B58,'Raw Data'!$F$3:$F$94,Analysis_Commune!$D58,'Raw Data'!$W$3:$W$94,Analysis_Commune!F$4)</f>
        <v>0</v>
      </c>
    </row>
    <row r="59" spans="1:6">
      <c r="A59" s="30" t="s">
        <v>292</v>
      </c>
      <c r="B59" s="30"/>
      <c r="C59" s="30"/>
      <c r="D59" s="32"/>
      <c r="E59" s="32">
        <f>SUM(E57:E58)</f>
        <v>0</v>
      </c>
      <c r="F59" s="32">
        <f>SUM(F57:F58)</f>
        <v>0</v>
      </c>
    </row>
    <row r="60" spans="1:6">
      <c r="A60" s="32" t="s">
        <v>21</v>
      </c>
      <c r="B60" s="32" t="s">
        <v>25</v>
      </c>
      <c r="C60" s="18" t="s">
        <v>295</v>
      </c>
      <c r="D60" s="32" t="s">
        <v>296</v>
      </c>
      <c r="E60" s="32">
        <f>COUNTIFS('Raw Data'!$G$3:$G$94,Analysis_Commune!$B60,'Raw Data'!$F$3:$F$94,Analysis_Commune!$D60,'Raw Data'!$W$3:$W$94,Analysis_Commune!E$4)</f>
        <v>1</v>
      </c>
      <c r="F60" s="32">
        <f>COUNTIFS('Raw Data'!$G$3:$G$94,Analysis_Commune!$B60,'Raw Data'!$F$3:$F$94,Analysis_Commune!$D60,'Raw Data'!$W$3:$W$94,Analysis_Commune!F$4)</f>
        <v>0</v>
      </c>
    </row>
    <row r="61" spans="1:6">
      <c r="A61" s="32" t="s">
        <v>21</v>
      </c>
      <c r="B61" s="32" t="s">
        <v>21</v>
      </c>
      <c r="C61" s="18" t="s">
        <v>295</v>
      </c>
      <c r="D61" s="32" t="s">
        <v>296</v>
      </c>
      <c r="E61" s="32">
        <f>COUNTIFS('Raw Data'!$G$3:$G$94,Analysis_Commune!$B61,'Raw Data'!$F$3:$F$94,Analysis_Commune!$D61,'Raw Data'!$W$3:$W$94,Analysis_Commune!E$4)</f>
        <v>0</v>
      </c>
      <c r="F61" s="32">
        <f>COUNTIFS('Raw Data'!$G$3:$G$94,Analysis_Commune!$B61,'Raw Data'!$F$3:$F$94,Analysis_Commune!$D61,'Raw Data'!$W$3:$W$94,Analysis_Commune!F$4)</f>
        <v>0</v>
      </c>
    </row>
    <row r="62" spans="1:6">
      <c r="A62" s="32" t="s">
        <v>21</v>
      </c>
      <c r="B62" s="32" t="s">
        <v>76</v>
      </c>
      <c r="C62" s="18" t="s">
        <v>295</v>
      </c>
      <c r="D62" s="32" t="s">
        <v>296</v>
      </c>
      <c r="E62" s="32">
        <f>COUNTIFS('Raw Data'!$G$3:$G$94,Analysis_Commune!$B62,'Raw Data'!$F$3:$F$94,Analysis_Commune!$D62,'Raw Data'!$W$3:$W$94,Analysis_Commune!E$4)</f>
        <v>0</v>
      </c>
      <c r="F62" s="32">
        <f>COUNTIFS('Raw Data'!$G$3:$G$94,Analysis_Commune!$B62,'Raw Data'!$F$3:$F$94,Analysis_Commune!$D62,'Raw Data'!$W$3:$W$94,Analysis_Commune!F$4)</f>
        <v>0</v>
      </c>
    </row>
    <row r="63" spans="1:6">
      <c r="A63" s="32" t="s">
        <v>21</v>
      </c>
      <c r="B63" s="32" t="s">
        <v>229</v>
      </c>
      <c r="C63" s="18" t="s">
        <v>295</v>
      </c>
      <c r="D63" s="32" t="s">
        <v>296</v>
      </c>
      <c r="E63" s="32">
        <f>COUNTIFS('Raw Data'!$G$3:$G$94,Analysis_Commune!$B63,'Raw Data'!$F$3:$F$94,Analysis_Commune!$D63,'Raw Data'!$W$3:$W$94,Analysis_Commune!E$4)</f>
        <v>0</v>
      </c>
      <c r="F63" s="32">
        <f>COUNTIFS('Raw Data'!$G$3:$G$94,Analysis_Commune!$B63,'Raw Data'!$F$3:$F$94,Analysis_Commune!$D63,'Raw Data'!$W$3:$W$94,Analysis_Commune!F$4)</f>
        <v>0</v>
      </c>
    </row>
    <row r="64" spans="1:6">
      <c r="A64" s="30" t="s">
        <v>292</v>
      </c>
      <c r="B64" s="30"/>
      <c r="C64" s="30"/>
      <c r="D64" s="32"/>
      <c r="E64" s="32">
        <f>SUM(E60:E63)</f>
        <v>1</v>
      </c>
      <c r="F64" s="32">
        <f>SUM(F60:F63)</f>
        <v>0</v>
      </c>
    </row>
    <row r="65" spans="1:6">
      <c r="A65" s="32" t="s">
        <v>55</v>
      </c>
      <c r="B65" s="32" t="s">
        <v>49</v>
      </c>
      <c r="C65" s="18" t="s">
        <v>295</v>
      </c>
      <c r="D65" s="32" t="s">
        <v>296</v>
      </c>
      <c r="E65" s="32">
        <f>COUNTIFS('Raw Data'!$G$3:$G$94,Analysis_Commune!$B65,'Raw Data'!$F$3:$F$94,Analysis_Commune!$D65,'Raw Data'!$W$3:$W$94,Analysis_Commune!E$4)</f>
        <v>0</v>
      </c>
      <c r="F65" s="32">
        <f>COUNTIFS('Raw Data'!$G$3:$G$94,Analysis_Commune!$B65,'Raw Data'!$F$3:$F$94,Analysis_Commune!$D65,'Raw Data'!$W$3:$W$94,Analysis_Commune!F$4)</f>
        <v>0</v>
      </c>
    </row>
    <row r="66" spans="1:6">
      <c r="A66" s="32" t="s">
        <v>55</v>
      </c>
      <c r="B66" s="32" t="s">
        <v>55</v>
      </c>
      <c r="C66" s="18" t="s">
        <v>295</v>
      </c>
      <c r="D66" s="32" t="s">
        <v>296</v>
      </c>
      <c r="E66" s="32">
        <f>COUNTIFS('Raw Data'!$G$3:$G$94,Analysis_Commune!$B66,'Raw Data'!$F$3:$F$94,Analysis_Commune!$D66,'Raw Data'!$W$3:$W$94,Analysis_Commune!E$4)</f>
        <v>2</v>
      </c>
      <c r="F66" s="32">
        <f>COUNTIFS('Raw Data'!$G$3:$G$94,Analysis_Commune!$B66,'Raw Data'!$F$3:$F$94,Analysis_Commune!$D66,'Raw Data'!$W$3:$W$94,Analysis_Commune!F$4)</f>
        <v>8</v>
      </c>
    </row>
    <row r="67" spans="1:6">
      <c r="A67" s="32" t="s">
        <v>55</v>
      </c>
      <c r="B67" s="32" t="s">
        <v>216</v>
      </c>
      <c r="C67" s="18" t="s">
        <v>295</v>
      </c>
      <c r="D67" s="32" t="s">
        <v>296</v>
      </c>
      <c r="E67" s="32">
        <f>COUNTIFS('Raw Data'!$G$3:$G$94,Analysis_Commune!$B67,'Raw Data'!$F$3:$F$94,Analysis_Commune!$D67,'Raw Data'!$W$3:$W$94,Analysis_Commune!E$4)</f>
        <v>0</v>
      </c>
      <c r="F67" s="32">
        <f>COUNTIFS('Raw Data'!$G$3:$G$94,Analysis_Commune!$B67,'Raw Data'!$F$3:$F$94,Analysis_Commune!$D67,'Raw Data'!$W$3:$W$94,Analysis_Commune!F$4)</f>
        <v>0</v>
      </c>
    </row>
    <row r="68" spans="1:6">
      <c r="A68" s="32" t="s">
        <v>55</v>
      </c>
      <c r="B68" s="32" t="s">
        <v>17</v>
      </c>
      <c r="C68" s="18" t="s">
        <v>295</v>
      </c>
      <c r="D68" s="32" t="s">
        <v>296</v>
      </c>
      <c r="E68" s="32">
        <f>COUNTIFS('Raw Data'!$G$3:$G$94,Analysis_Commune!$B68,'Raw Data'!$F$3:$F$94,Analysis_Commune!$D68,'Raw Data'!$W$3:$W$94,Analysis_Commune!E$4)</f>
        <v>0</v>
      </c>
      <c r="F68" s="32">
        <f>COUNTIFS('Raw Data'!$G$3:$G$94,Analysis_Commune!$B68,'Raw Data'!$F$3:$F$94,Analysis_Commune!$D68,'Raw Data'!$W$3:$W$94,Analysis_Commune!F$4)</f>
        <v>0</v>
      </c>
    </row>
    <row r="69" spans="1:6">
      <c r="A69" s="30" t="s">
        <v>292</v>
      </c>
      <c r="B69" s="30"/>
      <c r="C69" s="30"/>
      <c r="D69" s="32"/>
      <c r="E69" s="32">
        <f>SUM(E65:E68)</f>
        <v>2</v>
      </c>
      <c r="F69" s="32">
        <f>SUM(F65:F68)</f>
        <v>8</v>
      </c>
    </row>
    <row r="70" spans="1:6">
      <c r="A70" s="32" t="s">
        <v>98</v>
      </c>
      <c r="B70" s="32" t="s">
        <v>218</v>
      </c>
      <c r="C70" s="18" t="s">
        <v>295</v>
      </c>
      <c r="D70" s="32" t="s">
        <v>296</v>
      </c>
      <c r="E70" s="32">
        <f>COUNTIFS('Raw Data'!$G$3:$G$94,Analysis_Commune!$B70,'Raw Data'!$F$3:$F$94,Analysis_Commune!$D70,'Raw Data'!$W$3:$W$94,Analysis_Commune!E$4)</f>
        <v>0</v>
      </c>
      <c r="F70" s="32">
        <f>COUNTIFS('Raw Data'!$G$3:$G$94,Analysis_Commune!$B70,'Raw Data'!$F$3:$F$94,Analysis_Commune!$D70,'Raw Data'!$W$3:$W$94,Analysis_Commune!F$4)</f>
        <v>0</v>
      </c>
    </row>
    <row r="71" spans="1:6">
      <c r="A71" s="32" t="s">
        <v>98</v>
      </c>
      <c r="B71" s="32" t="s">
        <v>222</v>
      </c>
      <c r="C71" s="18" t="s">
        <v>295</v>
      </c>
      <c r="D71" s="32" t="s">
        <v>296</v>
      </c>
      <c r="E71" s="32">
        <f>COUNTIFS('Raw Data'!$G$3:$G$94,Analysis_Commune!$B71,'Raw Data'!$F$3:$F$94,Analysis_Commune!$D71,'Raw Data'!$W$3:$W$94,Analysis_Commune!E$4)</f>
        <v>0</v>
      </c>
      <c r="F71" s="32">
        <f>COUNTIFS('Raw Data'!$G$3:$G$94,Analysis_Commune!$B71,'Raw Data'!$F$3:$F$94,Analysis_Commune!$D71,'Raw Data'!$W$3:$W$94,Analysis_Commune!F$4)</f>
        <v>0</v>
      </c>
    </row>
    <row r="72" spans="1:6">
      <c r="A72" s="30" t="s">
        <v>292</v>
      </c>
      <c r="B72" s="30"/>
      <c r="C72" s="30"/>
      <c r="D72" s="32"/>
      <c r="E72" s="32">
        <f>SUM(E70:E71)</f>
        <v>0</v>
      </c>
      <c r="F72" s="32">
        <f>SUM(F70:F71)</f>
        <v>0</v>
      </c>
    </row>
    <row r="73" spans="1:6">
      <c r="A73" s="32" t="s">
        <v>5</v>
      </c>
      <c r="B73" s="32" t="s">
        <v>14</v>
      </c>
      <c r="C73" s="18" t="s">
        <v>295</v>
      </c>
      <c r="D73" s="32" t="s">
        <v>296</v>
      </c>
      <c r="E73" s="32">
        <f>COUNTIFS('Raw Data'!$G$3:$G$94,Analysis_Commune!$B73,'Raw Data'!$F$3:$F$94,Analysis_Commune!$D73,'Raw Data'!$W$3:$W$94,Analysis_Commune!E$4)</f>
        <v>0</v>
      </c>
      <c r="F73" s="32">
        <f>COUNTIFS('Raw Data'!$G$3:$G$94,Analysis_Commune!$B73,'Raw Data'!$F$3:$F$94,Analysis_Commune!$D73,'Raw Data'!$W$3:$W$94,Analysis_Commune!F$4)</f>
        <v>0</v>
      </c>
    </row>
    <row r="74" spans="1:6">
      <c r="A74" s="32" t="s">
        <v>5</v>
      </c>
      <c r="B74" s="32" t="s">
        <v>12</v>
      </c>
      <c r="C74" s="18" t="s">
        <v>295</v>
      </c>
      <c r="D74" s="32" t="s">
        <v>296</v>
      </c>
      <c r="E74" s="32">
        <f>COUNTIFS('Raw Data'!$G$3:$G$94,Analysis_Commune!$B74,'Raw Data'!$F$3:$F$94,Analysis_Commune!$D74,'Raw Data'!$W$3:$W$94,Analysis_Commune!E$4)</f>
        <v>0</v>
      </c>
      <c r="F74" s="32">
        <f>COUNTIFS('Raw Data'!$G$3:$G$94,Analysis_Commune!$B74,'Raw Data'!$F$3:$F$94,Analysis_Commune!$D74,'Raw Data'!$W$3:$W$94,Analysis_Commune!F$4)</f>
        <v>0</v>
      </c>
    </row>
    <row r="75" spans="1:6">
      <c r="A75" s="32" t="s">
        <v>5</v>
      </c>
      <c r="B75" s="32" t="s">
        <v>5</v>
      </c>
      <c r="C75" s="18" t="s">
        <v>295</v>
      </c>
      <c r="D75" s="32" t="s">
        <v>296</v>
      </c>
      <c r="E75" s="32">
        <f>COUNTIFS('Raw Data'!$G$3:$G$94,Analysis_Commune!$B75,'Raw Data'!$F$3:$F$94,Analysis_Commune!$D75,'Raw Data'!$W$3:$W$94,Analysis_Commune!E$4)</f>
        <v>0</v>
      </c>
      <c r="F75" s="32">
        <f>COUNTIFS('Raw Data'!$G$3:$G$94,Analysis_Commune!$B75,'Raw Data'!$F$3:$F$94,Analysis_Commune!$D75,'Raw Data'!$W$3:$W$94,Analysis_Commune!F$4)</f>
        <v>0</v>
      </c>
    </row>
    <row r="76" spans="1:6">
      <c r="A76" s="30" t="s">
        <v>292</v>
      </c>
      <c r="B76" s="30"/>
      <c r="C76" s="30"/>
      <c r="D76" s="32"/>
      <c r="E76" s="32">
        <f>SUM(E73:E75)</f>
        <v>0</v>
      </c>
      <c r="F76" s="32">
        <f>SUM(F73:F75)</f>
        <v>0</v>
      </c>
    </row>
    <row r="77" spans="1:6">
      <c r="A77" s="30" t="s">
        <v>293</v>
      </c>
      <c r="B77" s="30"/>
      <c r="C77" s="30"/>
      <c r="D77" s="32"/>
      <c r="E77" s="34">
        <f>SUMIF($A44:$A76,"Sous-total",E44:E76)</f>
        <v>9</v>
      </c>
      <c r="F77" s="34">
        <f>SUMIF($A44:$A76,"Sous-total",F44:F76)</f>
        <v>9</v>
      </c>
    </row>
  </sheetData>
  <mergeCells count="8">
    <mergeCell ref="A41:A42"/>
    <mergeCell ref="B41:B42"/>
    <mergeCell ref="C41:C42"/>
    <mergeCell ref="D41:D42"/>
    <mergeCell ref="A2:A3"/>
    <mergeCell ref="B2:B3"/>
    <mergeCell ref="C2:C3"/>
    <mergeCell ref="D2:D3"/>
  </mergeCells>
  <phoneticPr fontId="1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e54fd4-1e45-4b18-9962-0f27396939ae" xsi:nil="true"/>
    <lcf76f155ced4ddcb4097134ff3c332f xmlns="1f7d1ae4-ddff-4126-878a-b905e0cab9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54454134AC704B98BB670FD01E8DE3" ma:contentTypeVersion="19" ma:contentTypeDescription="新しいドキュメントを作成します。" ma:contentTypeScope="" ma:versionID="a8868b86d311afd42956158b3d08971c">
  <xsd:schema xmlns:xsd="http://www.w3.org/2001/XMLSchema" xmlns:xs="http://www.w3.org/2001/XMLSchema" xmlns:p="http://schemas.microsoft.com/office/2006/metadata/properties" xmlns:ns2="1f7d1ae4-ddff-4126-878a-b905e0cab9cc" xmlns:ns3="39e54fd4-1e45-4b18-9962-0f27396939ae" targetNamespace="http://schemas.microsoft.com/office/2006/metadata/properties" ma:root="true" ma:fieldsID="04e098fe360aaf78ae0221d79b5c465e" ns2:_="" ns3:_="">
    <xsd:import namespace="1f7d1ae4-ddff-4126-878a-b905e0cab9cc"/>
    <xsd:import namespace="39e54fd4-1e45-4b18-9962-0f2739693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1ae4-ddff-4126-878a-b905e0cab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87369404-55ef-400a-bfde-7777e30f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54fd4-1e45-4b18-9962-0f27396939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5a4568e-bf35-46c2-8ea5-30810d45ff73}" ma:internalName="TaxCatchAll" ma:showField="CatchAllData" ma:web="39e54fd4-1e45-4b18-9962-0f27396939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AF4386-76FF-4534-813A-BC69F098A169}">
  <ds:schemaRefs>
    <ds:schemaRef ds:uri="http://schemas.microsoft.com/office/2006/metadata/properties"/>
    <ds:schemaRef ds:uri="http://schemas.microsoft.com/office/infopath/2007/PartnerControls"/>
    <ds:schemaRef ds:uri="39e54fd4-1e45-4b18-9962-0f27396939ae"/>
    <ds:schemaRef ds:uri="1f7d1ae4-ddff-4126-878a-b905e0cab9cc"/>
  </ds:schemaRefs>
</ds:datastoreItem>
</file>

<file path=customXml/itemProps2.xml><?xml version="1.0" encoding="utf-8"?>
<ds:datastoreItem xmlns:ds="http://schemas.openxmlformats.org/officeDocument/2006/customXml" ds:itemID="{ACF22EE3-5FC7-493D-B558-A69CA359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d1ae4-ddff-4126-878a-b905e0cab9cc"/>
    <ds:schemaRef ds:uri="39e54fd4-1e45-4b18-9962-0f27396939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516D2B-EFEF-4335-A4D2-726FEEF6E0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Raw Data_modified</vt:lpstr>
      <vt:lpstr>Raw Data</vt:lpstr>
      <vt:lpstr>Analysis</vt:lpstr>
      <vt:lpstr>Analysis_Commune</vt:lpstr>
      <vt:lpstr>Analysis!Impression_des_titres</vt:lpstr>
      <vt:lpstr>Analysis!Zone_d_impression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Aliou Dia</dc:creator>
  <cp:lastModifiedBy>Hadji Johnson</cp:lastModifiedBy>
  <dcterms:created xsi:type="dcterms:W3CDTF">2024-07-08T15:28:28Z</dcterms:created>
  <dcterms:modified xsi:type="dcterms:W3CDTF">2026-08-17T10:26:01Z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0x0101001154454134AC704B98BB670FD01E8DE3</vt:lpwstr>
  </property>
</Properties>
</file>